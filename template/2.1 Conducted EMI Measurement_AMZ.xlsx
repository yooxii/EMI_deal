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05" yWindow="-105" windowWidth="30930" windowHeight="1704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3" i="1" l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F10" i="1" l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I56" i="1"/>
  <c r="I68" i="1" s="1"/>
  <c r="I80" i="1" s="1"/>
  <c r="H56" i="1"/>
  <c r="H68" i="1" s="1"/>
  <c r="H80" i="1" s="1"/>
  <c r="F56" i="1"/>
  <c r="F68" i="1" s="1"/>
  <c r="F80" i="1" s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M6" i="1"/>
  <c r="H6" i="1"/>
  <c r="H104" i="1" l="1"/>
  <c r="H92" i="1"/>
  <c r="F104" i="1"/>
  <c r="F92" i="1"/>
  <c r="I104" i="1"/>
  <c r="I92" i="1"/>
</calcChain>
</file>

<file path=xl/sharedStrings.xml><?xml version="1.0" encoding="utf-8"?>
<sst xmlns="http://schemas.openxmlformats.org/spreadsheetml/2006/main" count="302" uniqueCount="80">
  <si>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</si>
  <si>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</si>
  <si>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</si>
  <si>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</si>
  <si>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</si>
  <si>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</si>
  <si>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</si>
  <si>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</si>
  <si>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</si>
  <si>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</si>
  <si>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</si>
  <si>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</si>
  <si>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</si>
  <si>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</si>
  <si>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</si>
  <si>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</si>
  <si>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</si>
  <si>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</si>
  <si>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</si>
  <si>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</si>
  <si>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</si>
  <si>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</si>
  <si>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</si>
  <si>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</si>
  <si>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</si>
  <si>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</si>
  <si>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</si>
  <si>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</si>
  <si>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</si>
  <si>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</si>
  <si>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</si>
  <si>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</si>
  <si>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</si>
  <si>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</si>
  <si>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</si>
  <si>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</si>
  <si>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</si>
  <si>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</si>
  <si>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</si>
  <si>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</si>
  <si>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</si>
  <si>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</si>
  <si>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Input Voltage
(Vac)</t>
  </si>
  <si>
    <t>Freq.
(Hz)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</si>
  <si>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</si>
  <si>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</si>
  <si>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</si>
  <si>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</si>
  <si>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</si>
  <si>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</si>
  <si>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</si>
  <si>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</si>
  <si>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</si>
  <si>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</si>
  <si>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</si>
  <si>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</si>
  <si>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</si>
  <si>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</si>
  <si>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</si>
  <si>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</si>
  <si>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</si>
  <si>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</si>
  <si>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</si>
  <si>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</si>
  <si>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</si>
  <si>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</si>
  <si>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</si>
  <si>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</si>
  <si>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</si>
  <si>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</si>
  <si>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</si>
  <si>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1. Test Condition:
The test shall be performed on the power supply unit with resister load specified above test compare with EMI requirement.
·  Basic Standard: Refer to EN 55032 and FCC 47 CFR Part 15 Subpart B
· Input voltage: 110Vac/60Hz, and 220Vac/50Hz.
· Output Load (per output): 25%, 50% and 100% of maximum rating load. 
2. Pass/Fail Criteria:
• Shall meet the reference standard or specified emission limit.</t>
    <phoneticPr fontId="103" type="noConversion"/>
  </si>
  <si>
    <t>SN所在列</t>
    <phoneticPr fontId="103" type="noConversion"/>
  </si>
  <si>
    <t>SN所在行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</si>
  <si>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</si>
  <si>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</si>
  <si>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</si>
  <si>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结束行</t>
    <phoneticPr fontId="103" type="noConversion"/>
  </si>
  <si>
    <t>结束列</t>
    <phoneticPr fontId="103" type="noConversion"/>
  </si>
  <si>
    <t>数据所在列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</si>
</sst>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177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/>
    </xf>
    <xf numFmtId="0" fontId="6" fillId="0" borderId="78" xfId="2" applyFont="1" applyBorder="1" applyAlignment="1">
      <alignment horizontal="center" vertical="center"/>
    </xf>
    <xf numFmtId="0" fontId="8" fillId="7" borderId="81" xfId="2" applyFont="1" applyFill="1" applyBorder="1" applyAlignment="1">
      <alignment vertical="center"/>
    </xf>
    <xf numFmtId="0" fontId="6" fillId="7" borderId="81" xfId="2" applyFont="1" applyFill="1" applyBorder="1" applyAlignment="1">
      <alignment vertical="center"/>
    </xf>
    <xf numFmtId="0" fontId="6" fillId="7" borderId="82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177" fontId="6" fillId="37" borderId="78" xfId="2" applyNumberFormat="1" applyFont="1" applyFill="1" applyBorder="1" applyAlignment="1">
      <alignment horizontal="center" vertical="center"/>
    </xf>
    <xf numFmtId="178" fontId="6" fillId="37" borderId="78" xfId="2" applyNumberFormat="1" applyFont="1" applyFill="1" applyBorder="1" applyAlignment="1">
      <alignment horizontal="center" vertical="center" wrapText="1"/>
    </xf>
    <xf numFmtId="179" fontId="6" fillId="37" borderId="78" xfId="2" applyNumberFormat="1" applyFont="1" applyFill="1" applyBorder="1" applyAlignment="1">
      <alignment horizontal="center" vertical="center"/>
    </xf>
    <xf numFmtId="0" fontId="6" fillId="5" borderId="10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8" xfId="2" applyFont="1" applyFill="1" applyBorder="1" applyAlignment="1">
      <alignment horizontal="center" vertical="center"/>
    </xf>
    <xf numFmtId="0" fontId="13" fillId="5" borderId="98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4" fillId="0" borderId="73" xfId="3" applyBorder="1" applyAlignment="1">
      <alignment horizontal="center" vertical="center" wrapText="1"/>
    </xf>
    <xf numFmtId="0" fontId="0" fillId="0" borderId="103" xfId="0" applyBorder="1" applyAlignment="1"/>
    <xf numFmtId="0" fontId="0" fillId="0" borderId="84" xfId="0" applyBorder="1" applyAlignment="1"/>
    <xf numFmtId="0" fontId="0" fillId="0" borderId="85" xfId="0" applyBorder="1" applyAlignment="1"/>
    <xf numFmtId="0" fontId="0" fillId="0" borderId="86" xfId="0" applyBorder="1" applyAlignment="1"/>
    <xf numFmtId="0" fontId="0" fillId="0" borderId="87" xfId="0" applyBorder="1" applyAlignment="1"/>
    <xf numFmtId="0" fontId="0" fillId="0" borderId="88" xfId="0" applyBorder="1" applyAlignment="1"/>
    <xf numFmtId="0" fontId="0" fillId="0" borderId="80" xfId="0" applyBorder="1" applyAlignment="1"/>
    <xf numFmtId="9" fontId="6" fillId="0" borderId="73" xfId="1" applyFont="1" applyBorder="1" applyAlignment="1">
      <alignment horizontal="center" vertical="center"/>
    </xf>
    <xf numFmtId="0" fontId="5" fillId="37" borderId="80" xfId="3" applyFont="1" applyFill="1" applyBorder="1" applyAlignment="1">
      <alignment horizontal="center" vertical="center"/>
    </xf>
    <xf numFmtId="0" fontId="3" fillId="0" borderId="60" xfId="3" applyFont="1" applyBorder="1"/>
    <xf numFmtId="0" fontId="0" fillId="0" borderId="60" xfId="0" applyBorder="1" applyAlignment="1"/>
    <xf numFmtId="0" fontId="5" fillId="0" borderId="76" xfId="3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90" xfId="0" applyBorder="1" applyAlignment="1"/>
    <xf numFmtId="0" fontId="6" fillId="0" borderId="73" xfId="2" applyFont="1" applyBorder="1" applyAlignment="1">
      <alignment horizontal="center" vertical="center" wrapText="1"/>
    </xf>
    <xf numFmtId="0" fontId="13" fillId="0" borderId="101" xfId="3" applyFont="1" applyBorder="1"/>
    <xf numFmtId="0" fontId="0" fillId="0" borderId="29" xfId="0" applyBorder="1" applyAlignment="1"/>
    <xf numFmtId="0" fontId="0" fillId="0" borderId="28" xfId="0" applyBorder="1" applyAlignment="1"/>
    <xf numFmtId="0" fontId="0" fillId="0" borderId="91" xfId="0" applyBorder="1" applyAlignment="1"/>
    <xf numFmtId="0" fontId="11" fillId="0" borderId="64" xfId="3" applyFont="1" applyBorder="1"/>
    <xf numFmtId="0" fontId="3" fillId="4" borderId="0" xfId="2" applyFont="1" applyFill="1" applyAlignment="1">
      <alignment horizontal="left" vertical="center"/>
    </xf>
    <xf numFmtId="0" fontId="0" fillId="0" borderId="64" xfId="0" applyBorder="1" applyAlignment="1"/>
    <xf numFmtId="0" fontId="9" fillId="6" borderId="109" xfId="2" applyFont="1" applyFill="1" applyBorder="1" applyAlignment="1">
      <alignment horizontal="left" vertical="center"/>
    </xf>
    <xf numFmtId="0" fontId="0" fillId="0" borderId="70" xfId="0" applyBorder="1" applyAlignment="1"/>
    <xf numFmtId="0" fontId="0" fillId="0" borderId="71" xfId="0" applyBorder="1" applyAlignment="1"/>
    <xf numFmtId="0" fontId="9" fillId="6" borderId="95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5" fillId="0" borderId="73" xfId="3" applyFont="1" applyBorder="1" applyAlignment="1">
      <alignment horizontal="center" vertical="center" wrapText="1"/>
    </xf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0" fontId="11" fillId="0" borderId="0" xfId="3" applyFont="1"/>
    <xf numFmtId="0" fontId="3" fillId="4" borderId="0" xfId="2" applyFont="1" applyFill="1" applyAlignment="1">
      <alignment vertical="center"/>
    </xf>
    <xf numFmtId="0" fontId="100" fillId="0" borderId="96" xfId="3" applyFont="1" applyBorder="1" applyAlignment="1">
      <alignment horizontal="center" vertical="center"/>
    </xf>
    <xf numFmtId="0" fontId="0" fillId="0" borderId="16" xfId="0" applyBorder="1" applyAlignment="1"/>
    <xf numFmtId="0" fontId="6" fillId="6" borderId="109" xfId="2" applyFont="1" applyFill="1" applyBorder="1" applyAlignment="1">
      <alignment horizontal="left" vertical="top" wrapText="1"/>
    </xf>
    <xf numFmtId="0" fontId="4" fillId="0" borderId="22" xfId="3" applyBorder="1"/>
    <xf numFmtId="0" fontId="0" fillId="0" borderId="22" xfId="0" applyBorder="1" applyAlignment="1"/>
    <xf numFmtId="0" fontId="4" fillId="0" borderId="7" xfId="3" applyBorder="1"/>
    <xf numFmtId="0" fontId="0" fillId="0" borderId="8" xfId="0" applyBorder="1" applyAlignment="1"/>
    <xf numFmtId="0" fontId="0" fillId="0" borderId="7" xfId="0" applyBorder="1" applyAlignment="1"/>
    <xf numFmtId="0" fontId="8" fillId="37" borderId="73" xfId="407" applyFont="1" applyFill="1" applyBorder="1" applyAlignment="1">
      <alignment horizontal="center" vertical="center"/>
    </xf>
    <xf numFmtId="0" fontId="0" fillId="0" borderId="94" xfId="0" applyBorder="1" applyAlignment="1"/>
    <xf numFmtId="0" fontId="0" fillId="0" borderId="105" xfId="0" applyBorder="1" applyAlignment="1"/>
    <xf numFmtId="0" fontId="0" fillId="0" borderId="104" xfId="0" applyBorder="1" applyAlignment="1"/>
    <xf numFmtId="0" fontId="0" fillId="0" borderId="77" xfId="0" applyBorder="1">
      <alignment vertical="center"/>
    </xf>
    <xf numFmtId="0" fontId="0" fillId="0" borderId="89" xfId="0" applyBorder="1" applyAlignment="1"/>
    <xf numFmtId="0" fontId="0" fillId="0" borderId="107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92" xfId="0" applyBorder="1" applyAlignment="1"/>
    <xf numFmtId="0" fontId="3" fillId="0" borderId="13" xfId="3" applyFont="1" applyBorder="1" applyAlignment="1">
      <alignment vertical="center" wrapText="1"/>
    </xf>
    <xf numFmtId="0" fontId="0" fillId="0" borderId="12" xfId="0" applyBorder="1" applyAlignment="1"/>
    <xf numFmtId="9" fontId="5" fillId="0" borderId="73" xfId="1" applyFont="1" applyBorder="1" applyAlignment="1">
      <alignment horizontal="center" vertical="center"/>
    </xf>
    <xf numFmtId="0" fontId="100" fillId="0" borderId="0" xfId="3" applyFont="1"/>
    <xf numFmtId="0" fontId="8" fillId="6" borderId="97" xfId="2" applyFont="1" applyFill="1" applyBorder="1" applyAlignment="1">
      <alignment horizontal="left" vertical="center"/>
    </xf>
    <xf numFmtId="0" fontId="0" fillId="0" borderId="18" xfId="0" applyBorder="1" applyAlignment="1"/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00" fillId="0" borderId="22" xfId="3" applyFont="1" applyBorder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0" fillId="0" borderId="102" xfId="0" applyBorder="1" applyAlignment="1"/>
    <xf numFmtId="0" fontId="102" fillId="37" borderId="79" xfId="3" applyFont="1" applyFill="1" applyBorder="1" applyAlignment="1">
      <alignment horizontal="center" vertical="center"/>
    </xf>
    <xf numFmtId="0" fontId="6" fillId="5" borderId="0" xfId="407" applyFont="1" applyFill="1" applyAlignment="1">
      <alignment horizontal="center" vertical="center"/>
    </xf>
    <xf numFmtId="0" fontId="100" fillId="0" borderId="2" xfId="3" applyFont="1" applyBorder="1"/>
    <xf numFmtId="0" fontId="0" fillId="0" borderId="2" xfId="0" applyBorder="1" applyAlignment="1"/>
    <xf numFmtId="0" fontId="0" fillId="0" borderId="106" xfId="0" applyBorder="1" applyAlignment="1"/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7" xfId="0" applyBorder="1" applyAlignment="1"/>
    <xf numFmtId="0" fontId="100" fillId="0" borderId="59" xfId="3" applyFont="1" applyBorder="1"/>
    <xf numFmtId="14" fontId="5" fillId="5" borderId="100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6" fillId="6" borderId="109" xfId="2" applyFont="1" applyFill="1" applyBorder="1" applyAlignment="1">
      <alignment horizontal="left" vertical="center" wrapText="1"/>
    </xf>
    <xf numFmtId="0" fontId="0" fillId="0" borderId="110" xfId="0" applyBorder="1" applyAlignment="1"/>
    <xf numFmtId="0" fontId="4" fillId="0" borderId="8" xfId="3" applyBorder="1"/>
    <xf numFmtId="0" fontId="5" fillId="37" borderId="80" xfId="3" applyFont="1" applyFill="1" applyBorder="1" applyAlignment="1">
      <alignment horizontal="center" vertical="center" wrapText="1"/>
    </xf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8" fillId="37" borderId="80" xfId="407" applyFont="1" applyFill="1" applyBorder="1" applyAlignment="1">
      <alignment horizontal="center" vertical="center"/>
    </xf>
    <xf numFmtId="0" fontId="4" fillId="0" borderId="1" xfId="3" applyBorder="1"/>
    <xf numFmtId="0" fontId="0" fillId="0" borderId="1" xfId="0" applyBorder="1" applyAlignment="1"/>
    <xf numFmtId="0" fontId="100" fillId="0" borderId="62" xfId="3" applyFont="1" applyBorder="1"/>
    <xf numFmtId="0" fontId="0" fillId="0" borderId="63" xfId="0" applyBorder="1" applyAlignment="1"/>
    <xf numFmtId="0" fontId="4" fillId="0" borderId="9" xfId="3" applyBorder="1"/>
    <xf numFmtId="0" fontId="0" fillId="0" borderId="9" xfId="0" applyBorder="1" applyAlignment="1"/>
    <xf numFmtId="0" fontId="6" fillId="5" borderId="93" xfId="407" applyFont="1" applyFill="1" applyBorder="1" applyAlignment="1">
      <alignment horizontal="left" vertical="center" wrapText="1" indent="2"/>
    </xf>
    <xf numFmtId="0" fontId="11" fillId="0" borderId="1" xfId="3" applyFont="1" applyBorder="1" applyAlignment="1">
      <alignment wrapText="1"/>
    </xf>
    <xf numFmtId="0" fontId="0" fillId="0" borderId="83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4" fillId="0" borderId="21" xfId="3" applyBorder="1"/>
    <xf numFmtId="0" fontId="0" fillId="0" borderId="21" xfId="0" applyBorder="1" applyAlignment="1"/>
    <xf numFmtId="0" fontId="11" fillId="0" borderId="2" xfId="3" applyFont="1" applyBorder="1"/>
    <xf numFmtId="0" fontId="13" fillId="0" borderId="32" xfId="3" applyFont="1" applyBorder="1"/>
    <xf numFmtId="0" fontId="0" fillId="0" borderId="32" xfId="0" applyBorder="1" applyAlignment="1"/>
    <xf numFmtId="0" fontId="4" fillId="0" borderId="11" xfId="3" applyBorder="1"/>
    <xf numFmtId="0" fontId="0" fillId="0" borderId="11" xfId="0" applyBorder="1" applyAlignment="1"/>
    <xf numFmtId="0" fontId="13" fillId="5" borderId="99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6.5"/>
  <cols>
    <col min="1" max="1" width="11.625" bestFit="1" customWidth="1"/>
  </cols>
  <sheetData>
    <row r="1" spans="1:2">
      <c r="A1" t="s">
        <v>73</v>
      </c>
      <c r="B1">
        <v>44</v>
      </c>
    </row>
    <row r="2" spans="1:2">
      <c r="A2" t="s">
        <v>72</v>
      </c>
      <c r="B2">
        <v>4</v>
      </c>
    </row>
    <row r="3" spans="1:2">
      <c r="A3" t="s">
        <v>74</v>
      </c>
      <c r="B3">
        <v>11</v>
      </c>
    </row>
    <row r="4" spans="1:2">
      <c r="A4" t="s">
        <v>75</v>
      </c>
      <c r="B4">
        <v>13</v>
      </c>
    </row>
    <row r="5" spans="1:2">
      <c r="A5" t="s">
        <v>76</v>
      </c>
      <c r="B5">
        <v>14</v>
      </c>
    </row>
    <row r="6" spans="1:2">
      <c r="A6" t="s">
        <v>79</v>
      </c>
      <c r="B6">
        <v>15</v>
      </c>
    </row>
    <row r="7" spans="1:2">
      <c r="A7" t="s">
        <v>77</v>
      </c>
      <c r="B7">
        <v>115</v>
      </c>
    </row>
    <row r="8" spans="1:2">
      <c r="A8" t="s">
        <v>78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Views>
    <sheetView tabSelected="1" topLeftCell="A94" zoomScale="70" zoomScaleNormal="70" workbookViewId="0">
      <selection activeCell="AC104" sqref="AC104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5.125" style="1" customWidth="1"/>
    <col min="13" max="13" width="8.125" style="1" customWidth="1"/>
    <col min="14" max="14" width="6.5" style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11.12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5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5"/>
      <c r="B3" s="19" t="s">
        <v>1</v>
      </c>
      <c r="C3" s="18"/>
      <c r="D3" s="18"/>
      <c r="E3" s="18"/>
      <c r="F3" s="70" t="s">
        <v>2</v>
      </c>
      <c r="G3" s="71"/>
      <c r="H3" s="71"/>
      <c r="I3" s="72"/>
      <c r="J3" s="19" t="s">
        <v>3</v>
      </c>
      <c r="K3" s="18"/>
      <c r="L3" s="18"/>
      <c r="M3" s="142" t="s">
        <v>4</v>
      </c>
      <c r="N3" s="143"/>
      <c r="O3" s="143"/>
      <c r="P3" s="144"/>
      <c r="Q3" s="15"/>
      <c r="R3" s="6"/>
      <c r="S3" s="6"/>
    </row>
    <row r="4" spans="1:21" ht="15" customHeight="1">
      <c r="A4" s="55"/>
      <c r="B4" s="17" t="s">
        <v>5</v>
      </c>
      <c r="C4" s="16"/>
      <c r="D4" s="16"/>
      <c r="E4" s="16"/>
      <c r="F4" s="174" t="s">
        <v>6</v>
      </c>
      <c r="G4" s="175"/>
      <c r="H4" s="175"/>
      <c r="I4" s="176"/>
      <c r="J4" s="17" t="s">
        <v>7</v>
      </c>
      <c r="K4" s="16"/>
      <c r="L4" s="16"/>
      <c r="M4" s="170" t="s">
        <v>8</v>
      </c>
      <c r="N4" s="106"/>
      <c r="O4" s="106"/>
      <c r="P4" s="171"/>
      <c r="Q4" s="15"/>
      <c r="R4" s="11"/>
      <c r="S4" s="11"/>
    </row>
    <row r="5" spans="1:21" ht="15" customHeight="1">
      <c r="A5" s="55"/>
      <c r="B5" s="17" t="s">
        <v>9</v>
      </c>
      <c r="C5" s="16"/>
      <c r="D5" s="16"/>
      <c r="E5" s="16"/>
      <c r="F5" s="174"/>
      <c r="G5" s="175"/>
      <c r="H5" s="175"/>
      <c r="I5" s="176"/>
      <c r="J5" s="17" t="s">
        <v>10</v>
      </c>
      <c r="K5" s="16"/>
      <c r="L5" s="16"/>
      <c r="M5" s="170" t="s">
        <v>11</v>
      </c>
      <c r="N5" s="106"/>
      <c r="O5" s="106"/>
      <c r="P5" s="171"/>
      <c r="Q5" s="15"/>
      <c r="R5" s="14"/>
      <c r="S5" s="14"/>
    </row>
    <row r="6" spans="1:21" ht="15.75" customHeight="1" thickBot="1">
      <c r="A6" s="55"/>
      <c r="B6" s="13" t="s">
        <v>12</v>
      </c>
      <c r="C6" s="12"/>
      <c r="D6" s="12"/>
      <c r="E6" s="12"/>
      <c r="F6" s="148"/>
      <c r="G6" s="149"/>
      <c r="H6" s="148" t="str">
        <f>IF(F6&gt;0,F6,"")</f>
        <v/>
      </c>
      <c r="I6" s="149"/>
      <c r="J6" s="13" t="s">
        <v>13</v>
      </c>
      <c r="K6" s="12"/>
      <c r="L6" s="12"/>
      <c r="M6" s="89" t="str">
        <f>IF(F22&gt;0,F22, "")</f>
        <v>Pass</v>
      </c>
      <c r="N6" s="90"/>
      <c r="O6" s="90"/>
      <c r="P6" s="91"/>
      <c r="Q6" s="55"/>
      <c r="R6" s="6"/>
      <c r="S6" s="6"/>
    </row>
    <row r="7" spans="1:21" ht="4.5" customHeight="1" thickBo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6"/>
      <c r="S7" s="6"/>
    </row>
    <row r="8" spans="1:21" ht="120" customHeight="1" thickBot="1">
      <c r="A8" s="54"/>
      <c r="B8" s="69">
        <v>1</v>
      </c>
      <c r="C8" s="96" t="s">
        <v>14</v>
      </c>
      <c r="D8" s="97"/>
      <c r="E8" s="98"/>
      <c r="F8" s="109" t="s">
        <v>71</v>
      </c>
      <c r="G8" s="97"/>
      <c r="H8" s="97"/>
      <c r="I8" s="97"/>
      <c r="J8" s="97"/>
      <c r="K8" s="97"/>
      <c r="L8" s="97"/>
      <c r="M8" s="98"/>
      <c r="N8" s="150"/>
      <c r="O8" s="97"/>
      <c r="P8" s="151"/>
      <c r="Q8" s="55"/>
      <c r="R8" s="11"/>
      <c r="S8" s="11"/>
      <c r="U8" s="53"/>
    </row>
    <row r="9" spans="1:21" ht="3.95" customHeight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6"/>
      <c r="S9" s="6"/>
    </row>
    <row r="10" spans="1:21" ht="15" customHeight="1">
      <c r="A10" s="54"/>
      <c r="B10" s="99">
        <v>2</v>
      </c>
      <c r="C10" s="133" t="s">
        <v>15</v>
      </c>
      <c r="D10" s="111"/>
      <c r="E10" s="111"/>
      <c r="F10" s="60">
        <f>COUNTA(D44:E115)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5"/>
      <c r="R10" s="6"/>
      <c r="S10" s="6"/>
    </row>
    <row r="11" spans="1:21" ht="15" customHeight="1">
      <c r="A11" s="54"/>
      <c r="B11" s="100"/>
      <c r="C11" s="127" t="s">
        <v>16</v>
      </c>
      <c r="D11" s="106"/>
      <c r="E11" s="106"/>
      <c r="F11" s="105" t="s">
        <v>17</v>
      </c>
      <c r="G11" s="106"/>
      <c r="H11" s="105" t="s">
        <v>18</v>
      </c>
      <c r="I11" s="106"/>
      <c r="J11" s="106"/>
      <c r="K11" s="106"/>
      <c r="L11" s="105" t="s">
        <v>19</v>
      </c>
      <c r="M11" s="106"/>
      <c r="N11" s="93" t="s">
        <v>20</v>
      </c>
      <c r="O11" s="106"/>
      <c r="P11" s="95"/>
      <c r="Q11" s="55"/>
      <c r="R11" s="6"/>
      <c r="S11" s="6"/>
    </row>
    <row r="12" spans="1:21" s="8" customFormat="1" ht="16.5" customHeight="1">
      <c r="A12" s="54"/>
      <c r="B12" s="100"/>
      <c r="C12" s="154" t="s">
        <v>21</v>
      </c>
      <c r="D12" s="94"/>
      <c r="E12" s="94"/>
      <c r="F12" s="105" t="s">
        <v>22</v>
      </c>
      <c r="G12" s="94"/>
      <c r="H12" s="105" t="s">
        <v>23</v>
      </c>
      <c r="I12" s="94"/>
      <c r="J12" s="94"/>
      <c r="K12" s="94"/>
      <c r="L12" s="105" t="s">
        <v>24</v>
      </c>
      <c r="M12" s="94"/>
      <c r="N12" s="93" t="s">
        <v>25</v>
      </c>
      <c r="O12" s="94"/>
      <c r="P12" s="95"/>
      <c r="Q12" s="5"/>
      <c r="R12" s="6"/>
      <c r="S12" s="6"/>
    </row>
    <row r="13" spans="1:21" s="8" customFormat="1" ht="16.5" customHeight="1">
      <c r="A13" s="54"/>
      <c r="B13" s="100"/>
      <c r="C13" s="155"/>
      <c r="D13" s="94"/>
      <c r="E13" s="94"/>
      <c r="F13" s="105" t="s">
        <v>22</v>
      </c>
      <c r="G13" s="94"/>
      <c r="H13" s="105" t="s">
        <v>26</v>
      </c>
      <c r="I13" s="94"/>
      <c r="J13" s="94"/>
      <c r="K13" s="94"/>
      <c r="L13" s="105" t="s">
        <v>24</v>
      </c>
      <c r="M13" s="94"/>
      <c r="N13" s="93" t="s">
        <v>25</v>
      </c>
      <c r="O13" s="94"/>
      <c r="P13" s="95"/>
      <c r="Q13" s="5"/>
      <c r="R13" s="6"/>
      <c r="S13" s="6"/>
    </row>
    <row r="14" spans="1:21" s="8" customFormat="1" ht="16.5" customHeight="1">
      <c r="A14" s="54"/>
      <c r="B14" s="100"/>
      <c r="C14" s="155"/>
      <c r="D14" s="94"/>
      <c r="E14" s="94"/>
      <c r="F14" s="105" t="s">
        <v>22</v>
      </c>
      <c r="G14" s="94"/>
      <c r="H14" s="105" t="s">
        <v>27</v>
      </c>
      <c r="I14" s="94"/>
      <c r="J14" s="94"/>
      <c r="K14" s="94"/>
      <c r="L14" s="105" t="s">
        <v>24</v>
      </c>
      <c r="M14" s="94"/>
      <c r="N14" s="93" t="s">
        <v>25</v>
      </c>
      <c r="O14" s="94"/>
      <c r="P14" s="95"/>
      <c r="Q14" s="5"/>
      <c r="R14" s="6"/>
      <c r="S14" s="6"/>
    </row>
    <row r="15" spans="1:21" s="8" customFormat="1" ht="15.75" customHeight="1" thickBot="1">
      <c r="A15" s="54"/>
      <c r="B15" s="101"/>
      <c r="C15" s="139" t="s">
        <v>28</v>
      </c>
      <c r="D15" s="140"/>
      <c r="E15" s="140"/>
      <c r="F15" s="164"/>
      <c r="G15" s="140"/>
      <c r="H15" s="140"/>
      <c r="I15" s="140"/>
      <c r="J15" s="140"/>
      <c r="K15" s="140"/>
      <c r="L15" s="140"/>
      <c r="M15" s="140"/>
      <c r="N15" s="140"/>
      <c r="O15" s="140"/>
      <c r="P15" s="158"/>
      <c r="Q15" s="5"/>
      <c r="R15" s="6"/>
      <c r="S15" s="6"/>
    </row>
    <row r="16" spans="1:21" ht="3.95" customHeight="1" thickBo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6"/>
      <c r="S16" s="6"/>
    </row>
    <row r="17" spans="1:19" ht="15" customHeight="1">
      <c r="A17" s="54"/>
      <c r="B17" s="22">
        <v>3</v>
      </c>
      <c r="C17" s="133" t="s">
        <v>29</v>
      </c>
      <c r="D17" s="111"/>
      <c r="E17" s="111"/>
      <c r="F17" s="110"/>
      <c r="G17" s="111"/>
      <c r="H17" s="111"/>
      <c r="I17" s="111"/>
      <c r="J17" s="111"/>
      <c r="K17" s="111"/>
      <c r="L17" s="111"/>
      <c r="M17" s="111"/>
      <c r="N17" s="167"/>
      <c r="O17" s="111"/>
      <c r="P17" s="168"/>
      <c r="Q17" s="5"/>
      <c r="R17" s="7"/>
      <c r="S17" s="7"/>
    </row>
    <row r="18" spans="1:19" ht="15" customHeight="1">
      <c r="A18" s="54"/>
      <c r="B18" s="107">
        <v>3.1</v>
      </c>
      <c r="C18" s="128" t="s">
        <v>30</v>
      </c>
      <c r="D18" s="129"/>
      <c r="E18" s="130"/>
      <c r="F18" s="134" t="s">
        <v>31</v>
      </c>
      <c r="G18" s="129"/>
      <c r="H18" s="129"/>
      <c r="I18" s="129"/>
      <c r="J18" s="129"/>
      <c r="K18" s="129"/>
      <c r="L18" s="129"/>
      <c r="M18" s="129"/>
      <c r="N18" s="145" t="s">
        <v>32</v>
      </c>
      <c r="O18" s="129"/>
      <c r="P18" s="146"/>
      <c r="Q18" s="5"/>
      <c r="R18" s="7"/>
      <c r="S18" s="7"/>
    </row>
    <row r="19" spans="1:19" ht="27" customHeight="1">
      <c r="A19" s="54"/>
      <c r="B19" s="108"/>
      <c r="C19" s="131"/>
      <c r="D19" s="125"/>
      <c r="E19" s="132"/>
      <c r="F19" s="124" t="s">
        <v>33</v>
      </c>
      <c r="G19" s="125"/>
      <c r="H19" s="125"/>
      <c r="I19" s="125"/>
      <c r="J19" s="125"/>
      <c r="K19" s="125"/>
      <c r="L19" s="125"/>
      <c r="M19" s="125"/>
      <c r="N19" s="172"/>
      <c r="O19" s="125"/>
      <c r="P19" s="173"/>
      <c r="Q19" s="5"/>
      <c r="R19" s="7"/>
      <c r="S19" s="7"/>
    </row>
    <row r="20" spans="1:19" ht="15.75" customHeight="1" thickBot="1">
      <c r="A20" s="54"/>
      <c r="B20" s="28">
        <v>3.2</v>
      </c>
      <c r="C20" s="139" t="s">
        <v>34</v>
      </c>
      <c r="D20" s="140"/>
      <c r="E20" s="140"/>
      <c r="F20" s="169" t="s">
        <v>35</v>
      </c>
      <c r="G20" s="140"/>
      <c r="H20" s="140"/>
      <c r="I20" s="140"/>
      <c r="J20" s="140"/>
      <c r="K20" s="140"/>
      <c r="L20" s="140"/>
      <c r="M20" s="140"/>
      <c r="N20" s="157"/>
      <c r="O20" s="140"/>
      <c r="P20" s="158"/>
      <c r="Q20" s="5"/>
      <c r="R20" s="7"/>
      <c r="S20" s="7"/>
    </row>
    <row r="21" spans="1:19" ht="3.95" customHeight="1" thickBot="1">
      <c r="A21" s="55"/>
      <c r="B21" s="29"/>
      <c r="C21" s="29"/>
      <c r="D21" s="29"/>
      <c r="E21" s="2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6"/>
      <c r="S21" s="6"/>
    </row>
    <row r="22" spans="1:19" ht="15.75" customHeight="1" thickBot="1">
      <c r="A22" s="54"/>
      <c r="B22" s="23">
        <v>4</v>
      </c>
      <c r="C22" s="147" t="s">
        <v>36</v>
      </c>
      <c r="D22" s="84"/>
      <c r="E22" s="84"/>
      <c r="F22" s="83" t="s">
        <v>37</v>
      </c>
      <c r="G22" s="84"/>
      <c r="H22" s="84"/>
      <c r="I22" s="84"/>
      <c r="J22" s="84"/>
      <c r="K22" s="84"/>
      <c r="L22" s="84"/>
      <c r="M22" s="84"/>
      <c r="N22" s="161"/>
      <c r="O22" s="84"/>
      <c r="P22" s="162"/>
      <c r="Q22" s="5"/>
      <c r="R22" s="7"/>
      <c r="S22" s="7"/>
    </row>
    <row r="23" spans="1:19" ht="3.95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6"/>
      <c r="S23" s="6"/>
    </row>
    <row r="24" spans="1:19" ht="15" customHeight="1">
      <c r="A24" s="54"/>
      <c r="B24" s="24">
        <v>5</v>
      </c>
      <c r="C24" s="159" t="s">
        <v>38</v>
      </c>
      <c r="D24" s="160"/>
      <c r="E24" s="160"/>
      <c r="F24" s="152"/>
      <c r="G24" s="113"/>
      <c r="H24" s="113"/>
      <c r="I24" s="113"/>
      <c r="J24" s="113"/>
      <c r="K24" s="113"/>
      <c r="L24" s="113"/>
      <c r="M24" s="113"/>
      <c r="N24" s="112"/>
      <c r="O24" s="113"/>
      <c r="P24" s="114"/>
      <c r="Q24" s="5"/>
      <c r="R24" s="7"/>
      <c r="S24" s="7"/>
    </row>
    <row r="25" spans="1:19" s="35" customFormat="1">
      <c r="A25" s="54"/>
      <c r="B25" s="37">
        <v>5.2</v>
      </c>
      <c r="C25" s="38" t="s">
        <v>39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4"/>
      <c r="B26" s="30"/>
      <c r="C26" s="31"/>
      <c r="D26" s="138"/>
      <c r="E26" s="104"/>
      <c r="F26" s="135"/>
      <c r="G26" s="104"/>
      <c r="H26" s="31"/>
      <c r="I26" s="32"/>
      <c r="J26" s="31"/>
      <c r="K26" s="31"/>
      <c r="L26" s="33"/>
      <c r="M26" s="33"/>
      <c r="N26" s="56"/>
      <c r="O26" s="31"/>
      <c r="P26" s="34"/>
      <c r="Q26" s="31"/>
    </row>
    <row r="27" spans="1:19" s="35" customFormat="1" ht="16.5">
      <c r="A27" s="54"/>
      <c r="B27" s="163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95"/>
      <c r="Q27" s="31"/>
    </row>
    <row r="28" spans="1:19" s="35" customFormat="1" ht="16.5">
      <c r="A28" s="54"/>
      <c r="B28" s="36"/>
      <c r="C28" s="31"/>
      <c r="D28" s="103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95"/>
      <c r="Q28" s="31"/>
    </row>
    <row r="29" spans="1:19" s="35" customFormat="1" ht="16.5">
      <c r="A29" s="54"/>
      <c r="B29" s="36"/>
      <c r="C29" s="31"/>
      <c r="D29" s="103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95"/>
      <c r="Q29" s="31"/>
    </row>
    <row r="30" spans="1:19" s="35" customFormat="1">
      <c r="A30" s="54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4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4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4"/>
      <c r="B33" s="36"/>
      <c r="C33" s="31"/>
      <c r="D33" s="103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95"/>
      <c r="Q33" s="31"/>
    </row>
    <row r="34" spans="1:27" s="35" customFormat="1">
      <c r="A34" s="54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4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4"/>
      <c r="B36" s="36"/>
      <c r="C36" s="31"/>
      <c r="D36" s="103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95"/>
      <c r="Q36" s="31"/>
    </row>
    <row r="37" spans="1:27" s="35" customFormat="1">
      <c r="A37" s="54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4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4"/>
      <c r="B39" s="36"/>
      <c r="C39" s="31"/>
      <c r="D39" s="103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95"/>
      <c r="Q39" s="31"/>
    </row>
    <row r="40" spans="1:27" s="35" customFormat="1" ht="17.25" customHeight="1">
      <c r="A40" s="54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4"/>
      <c r="B41" s="41">
        <v>5.2</v>
      </c>
      <c r="C41" s="50" t="s">
        <v>34</v>
      </c>
      <c r="D41" s="50"/>
      <c r="E41" s="50"/>
      <c r="F41" s="50"/>
      <c r="G41" s="50"/>
      <c r="H41" s="50"/>
      <c r="I41" s="50"/>
      <c r="J41" s="51"/>
      <c r="K41" s="51"/>
      <c r="L41" s="51"/>
      <c r="M41" s="51"/>
      <c r="N41" s="51"/>
      <c r="O41" s="51"/>
      <c r="P41" s="52"/>
      <c r="Q41" s="67"/>
      <c r="R41" s="68"/>
      <c r="S41" s="4"/>
      <c r="T41" s="4"/>
      <c r="U41" s="2"/>
      <c r="V41" s="2"/>
      <c r="W41" s="2"/>
      <c r="X41" s="2"/>
      <c r="Y41" s="2"/>
      <c r="Z41" s="2"/>
      <c r="AA41" s="2"/>
    </row>
    <row r="42" spans="1:27" s="3" customFormat="1" ht="28.5" customHeight="1">
      <c r="A42" s="54"/>
      <c r="B42" s="137" t="s">
        <v>40</v>
      </c>
      <c r="C42" s="76"/>
      <c r="D42" s="156" t="s">
        <v>41</v>
      </c>
      <c r="E42" s="92"/>
      <c r="F42" s="92"/>
      <c r="G42" s="92"/>
      <c r="H42" s="92"/>
      <c r="I42" s="92"/>
      <c r="J42" s="78"/>
      <c r="K42" s="153" t="s">
        <v>42</v>
      </c>
      <c r="L42" s="153" t="s">
        <v>43</v>
      </c>
      <c r="M42" s="82" t="s">
        <v>44</v>
      </c>
      <c r="N42" s="82" t="s">
        <v>45</v>
      </c>
      <c r="O42" s="82" t="s">
        <v>46</v>
      </c>
      <c r="P42" s="92"/>
      <c r="Q42" s="92"/>
      <c r="R42" s="78"/>
      <c r="S42" s="122" t="s">
        <v>47</v>
      </c>
      <c r="T42" s="113"/>
      <c r="U42" s="123"/>
      <c r="V42" s="122" t="s">
        <v>48</v>
      </c>
      <c r="W42" s="113"/>
      <c r="X42" s="123"/>
      <c r="Y42" s="122" t="s">
        <v>49</v>
      </c>
      <c r="Z42" s="166" t="s">
        <v>32</v>
      </c>
      <c r="AA42" s="4"/>
    </row>
    <row r="43" spans="1:27" s="3" customFormat="1" ht="25.5" customHeight="1">
      <c r="A43" s="54"/>
      <c r="B43" s="87"/>
      <c r="C43" s="78"/>
      <c r="D43" s="115" t="s">
        <v>50</v>
      </c>
      <c r="E43" s="116"/>
      <c r="F43" s="115" t="s">
        <v>51</v>
      </c>
      <c r="G43" s="116"/>
      <c r="H43" s="57" t="s">
        <v>52</v>
      </c>
      <c r="I43" s="44" t="s">
        <v>53</v>
      </c>
      <c r="J43" s="57" t="s">
        <v>54</v>
      </c>
      <c r="K43" s="80"/>
      <c r="L43" s="80"/>
      <c r="M43" s="80"/>
      <c r="N43" s="80"/>
      <c r="O43" s="59" t="s">
        <v>55</v>
      </c>
      <c r="P43" s="58" t="s">
        <v>56</v>
      </c>
      <c r="Q43" s="58" t="s">
        <v>57</v>
      </c>
      <c r="R43" s="58" t="s">
        <v>58</v>
      </c>
      <c r="S43" s="58" t="s">
        <v>59</v>
      </c>
      <c r="T43" s="58" t="s">
        <v>60</v>
      </c>
      <c r="U43" s="58" t="s">
        <v>61</v>
      </c>
      <c r="V43" s="58" t="s">
        <v>62</v>
      </c>
      <c r="W43" s="58" t="s">
        <v>63</v>
      </c>
      <c r="X43" s="59" t="s">
        <v>61</v>
      </c>
      <c r="Y43" s="80"/>
      <c r="Z43" s="165"/>
      <c r="AA43" s="4"/>
    </row>
    <row r="44" spans="1:27" ht="21" customHeight="1">
      <c r="A44" s="54"/>
      <c r="B44" s="85">
        <v>1</v>
      </c>
      <c r="C44" s="74"/>
      <c r="D44" s="73"/>
      <c r="E44" s="74"/>
      <c r="F44" s="73"/>
      <c r="G44" s="74"/>
      <c r="H44" s="73"/>
      <c r="I44" s="73"/>
      <c r="J44" s="73">
        <v>1</v>
      </c>
      <c r="K44" s="102">
        <v>220</v>
      </c>
      <c r="L44" s="102">
        <v>50</v>
      </c>
      <c r="M44" s="45" t="s">
        <v>64</v>
      </c>
      <c r="N44" s="81">
        <v>0.25</v>
      </c>
      <c r="O44" s="46"/>
      <c r="P44" s="46"/>
      <c r="Q44" s="61"/>
      <c r="R44" s="61"/>
      <c r="S44" s="46" t="s">
        <v>65</v>
      </c>
      <c r="T44" s="46"/>
      <c r="U44" s="46"/>
      <c r="V44" s="45" t="s">
        <v>65</v>
      </c>
      <c r="W44" s="62">
        <f t="shared" ref="W44:W75" si="0">T44-Q44</f>
        <v>0</v>
      </c>
      <c r="X44" s="63">
        <f t="shared" ref="X44:X75" si="1">U44-R44</f>
        <v>0</v>
      </c>
      <c r="Y44" s="88"/>
      <c r="Z44" s="119"/>
      <c r="AA44" s="2"/>
    </row>
    <row r="45" spans="1:27" ht="21" customHeight="1">
      <c r="A45" s="54"/>
      <c r="B45" s="86"/>
      <c r="C45" s="76"/>
      <c r="D45" s="75"/>
      <c r="E45" s="76"/>
      <c r="F45" s="75"/>
      <c r="G45" s="76"/>
      <c r="H45" s="79"/>
      <c r="I45" s="79"/>
      <c r="J45" s="79"/>
      <c r="K45" s="79"/>
      <c r="L45" s="79"/>
      <c r="M45" s="59" t="s">
        <v>66</v>
      </c>
      <c r="N45" s="80"/>
      <c r="O45" s="46"/>
      <c r="P45" s="46"/>
      <c r="Q45" s="61"/>
      <c r="R45" s="61"/>
      <c r="S45" s="46" t="s">
        <v>65</v>
      </c>
      <c r="T45" s="46"/>
      <c r="U45" s="46"/>
      <c r="V45" s="59" t="s">
        <v>65</v>
      </c>
      <c r="W45" s="62">
        <f t="shared" si="0"/>
        <v>0</v>
      </c>
      <c r="X45" s="63">
        <f t="shared" si="1"/>
        <v>0</v>
      </c>
      <c r="Y45" s="79"/>
      <c r="Z45" s="120"/>
      <c r="AA45" s="2"/>
    </row>
    <row r="46" spans="1:27" ht="21" customHeight="1">
      <c r="A46" s="54"/>
      <c r="B46" s="86"/>
      <c r="C46" s="76"/>
      <c r="D46" s="75"/>
      <c r="E46" s="76"/>
      <c r="F46" s="75"/>
      <c r="G46" s="76"/>
      <c r="H46" s="79"/>
      <c r="I46" s="79"/>
      <c r="J46" s="79"/>
      <c r="K46" s="79"/>
      <c r="L46" s="79"/>
      <c r="M46" s="45" t="s">
        <v>64</v>
      </c>
      <c r="N46" s="81">
        <v>0.5</v>
      </c>
      <c r="O46" s="46"/>
      <c r="P46" s="46"/>
      <c r="Q46" s="61"/>
      <c r="R46" s="61"/>
      <c r="S46" s="46" t="s">
        <v>65</v>
      </c>
      <c r="T46" s="46"/>
      <c r="U46" s="46"/>
      <c r="V46" s="45" t="s">
        <v>65</v>
      </c>
      <c r="W46" s="62">
        <f t="shared" si="0"/>
        <v>0</v>
      </c>
      <c r="X46" s="63">
        <f t="shared" si="1"/>
        <v>0</v>
      </c>
      <c r="Y46" s="79"/>
      <c r="Z46" s="120"/>
      <c r="AA46" s="2"/>
    </row>
    <row r="47" spans="1:27" ht="21" customHeight="1">
      <c r="A47" s="54"/>
      <c r="B47" s="86"/>
      <c r="C47" s="76"/>
      <c r="D47" s="75"/>
      <c r="E47" s="76"/>
      <c r="F47" s="75"/>
      <c r="G47" s="76"/>
      <c r="H47" s="79"/>
      <c r="I47" s="79"/>
      <c r="J47" s="79"/>
      <c r="K47" s="79"/>
      <c r="L47" s="79"/>
      <c r="M47" s="59" t="s">
        <v>66</v>
      </c>
      <c r="N47" s="80"/>
      <c r="O47" s="46"/>
      <c r="P47" s="46"/>
      <c r="Q47" s="61"/>
      <c r="R47" s="61"/>
      <c r="S47" s="46" t="s">
        <v>65</v>
      </c>
      <c r="T47" s="46"/>
      <c r="U47" s="46"/>
      <c r="V47" s="59" t="s">
        <v>65</v>
      </c>
      <c r="W47" s="62">
        <f t="shared" si="0"/>
        <v>0</v>
      </c>
      <c r="X47" s="63">
        <f t="shared" si="1"/>
        <v>0</v>
      </c>
      <c r="Y47" s="79"/>
      <c r="Z47" s="120"/>
      <c r="AA47" s="2"/>
    </row>
    <row r="48" spans="1:27" ht="21" customHeight="1">
      <c r="A48" s="54"/>
      <c r="B48" s="86"/>
      <c r="C48" s="76"/>
      <c r="D48" s="75"/>
      <c r="E48" s="76"/>
      <c r="F48" s="75"/>
      <c r="G48" s="76"/>
      <c r="H48" s="79"/>
      <c r="I48" s="79"/>
      <c r="J48" s="79"/>
      <c r="K48" s="79"/>
      <c r="L48" s="79"/>
      <c r="M48" s="45" t="s">
        <v>64</v>
      </c>
      <c r="N48" s="126">
        <v>1</v>
      </c>
      <c r="O48" s="46"/>
      <c r="P48" s="46"/>
      <c r="Q48" s="61"/>
      <c r="R48" s="61"/>
      <c r="S48" s="46" t="s">
        <v>65</v>
      </c>
      <c r="T48" s="46"/>
      <c r="U48" s="46"/>
      <c r="V48" s="45" t="s">
        <v>65</v>
      </c>
      <c r="W48" s="62">
        <f t="shared" si="0"/>
        <v>0</v>
      </c>
      <c r="X48" s="63">
        <f t="shared" si="1"/>
        <v>0</v>
      </c>
      <c r="Y48" s="79"/>
      <c r="Z48" s="120"/>
      <c r="AA48" s="2"/>
    </row>
    <row r="49" spans="1:27" ht="21" customHeight="1">
      <c r="A49" s="54"/>
      <c r="B49" s="86"/>
      <c r="C49" s="76"/>
      <c r="D49" s="75"/>
      <c r="E49" s="76"/>
      <c r="F49" s="75"/>
      <c r="G49" s="76"/>
      <c r="H49" s="79"/>
      <c r="I49" s="79"/>
      <c r="J49" s="79"/>
      <c r="K49" s="80"/>
      <c r="L49" s="80"/>
      <c r="M49" s="59" t="s">
        <v>66</v>
      </c>
      <c r="N49" s="80"/>
      <c r="O49" s="46"/>
      <c r="P49" s="46"/>
      <c r="Q49" s="61"/>
      <c r="R49" s="61"/>
      <c r="S49" s="46" t="s">
        <v>65</v>
      </c>
      <c r="T49" s="46"/>
      <c r="U49" s="46"/>
      <c r="V49" s="59" t="s">
        <v>65</v>
      </c>
      <c r="W49" s="62">
        <f t="shared" si="0"/>
        <v>0</v>
      </c>
      <c r="X49" s="63">
        <f t="shared" si="1"/>
        <v>0</v>
      </c>
      <c r="Y49" s="80"/>
      <c r="Z49" s="165"/>
      <c r="AA49" s="2"/>
    </row>
    <row r="50" spans="1:27" ht="21" customHeight="1">
      <c r="A50" s="54"/>
      <c r="B50" s="86"/>
      <c r="C50" s="76"/>
      <c r="D50" s="75"/>
      <c r="E50" s="76"/>
      <c r="F50" s="75"/>
      <c r="G50" s="76"/>
      <c r="H50" s="79"/>
      <c r="I50" s="79"/>
      <c r="J50" s="79"/>
      <c r="K50" s="102">
        <v>110</v>
      </c>
      <c r="L50" s="102">
        <v>60</v>
      </c>
      <c r="M50" s="45" t="s">
        <v>64</v>
      </c>
      <c r="N50" s="81">
        <v>0.25</v>
      </c>
      <c r="O50" s="46"/>
      <c r="P50" s="47"/>
      <c r="Q50" s="61"/>
      <c r="R50" s="61"/>
      <c r="S50" s="46" t="s">
        <v>65</v>
      </c>
      <c r="T50" s="46"/>
      <c r="U50" s="46"/>
      <c r="V50" s="45" t="s">
        <v>65</v>
      </c>
      <c r="W50" s="62">
        <f t="shared" si="0"/>
        <v>0</v>
      </c>
      <c r="X50" s="63">
        <f t="shared" si="1"/>
        <v>0</v>
      </c>
      <c r="Y50" s="88"/>
      <c r="Z50" s="119"/>
      <c r="AA50" s="2"/>
    </row>
    <row r="51" spans="1:27" ht="21" customHeight="1">
      <c r="A51" s="54"/>
      <c r="B51" s="86"/>
      <c r="C51" s="76"/>
      <c r="D51" s="75"/>
      <c r="E51" s="76"/>
      <c r="F51" s="75"/>
      <c r="G51" s="76"/>
      <c r="H51" s="79"/>
      <c r="I51" s="79"/>
      <c r="J51" s="79"/>
      <c r="K51" s="79"/>
      <c r="L51" s="79"/>
      <c r="M51" s="59" t="s">
        <v>66</v>
      </c>
      <c r="N51" s="80"/>
      <c r="O51" s="46"/>
      <c r="P51" s="47"/>
      <c r="Q51" s="61"/>
      <c r="R51" s="61"/>
      <c r="S51" s="46" t="s">
        <v>65</v>
      </c>
      <c r="T51" s="46"/>
      <c r="U51" s="46"/>
      <c r="V51" s="59" t="s">
        <v>65</v>
      </c>
      <c r="W51" s="62">
        <f t="shared" si="0"/>
        <v>0</v>
      </c>
      <c r="X51" s="63">
        <f t="shared" si="1"/>
        <v>0</v>
      </c>
      <c r="Y51" s="79"/>
      <c r="Z51" s="120"/>
      <c r="AA51" s="2"/>
    </row>
    <row r="52" spans="1:27" ht="21" customHeight="1">
      <c r="A52" s="54"/>
      <c r="B52" s="86"/>
      <c r="C52" s="76"/>
      <c r="D52" s="75"/>
      <c r="E52" s="76"/>
      <c r="F52" s="75"/>
      <c r="G52" s="76"/>
      <c r="H52" s="79"/>
      <c r="I52" s="79"/>
      <c r="J52" s="79"/>
      <c r="K52" s="79"/>
      <c r="L52" s="79"/>
      <c r="M52" s="45" t="s">
        <v>64</v>
      </c>
      <c r="N52" s="81">
        <v>0.5</v>
      </c>
      <c r="O52" s="46"/>
      <c r="P52" s="47"/>
      <c r="Q52" s="61"/>
      <c r="R52" s="61"/>
      <c r="S52" s="46" t="s">
        <v>65</v>
      </c>
      <c r="T52" s="46"/>
      <c r="U52" s="46"/>
      <c r="V52" s="45" t="s">
        <v>65</v>
      </c>
      <c r="W52" s="62">
        <f t="shared" si="0"/>
        <v>0</v>
      </c>
      <c r="X52" s="63">
        <f t="shared" si="1"/>
        <v>0</v>
      </c>
      <c r="Y52" s="79"/>
      <c r="Z52" s="120"/>
      <c r="AA52" s="2"/>
    </row>
    <row r="53" spans="1:27" ht="21" customHeight="1">
      <c r="A53" s="54"/>
      <c r="B53" s="86"/>
      <c r="C53" s="76"/>
      <c r="D53" s="75"/>
      <c r="E53" s="76"/>
      <c r="F53" s="75"/>
      <c r="G53" s="76"/>
      <c r="H53" s="79"/>
      <c r="I53" s="79"/>
      <c r="J53" s="79"/>
      <c r="K53" s="79"/>
      <c r="L53" s="79"/>
      <c r="M53" s="59" t="s">
        <v>66</v>
      </c>
      <c r="N53" s="80"/>
      <c r="O53" s="46"/>
      <c r="P53" s="47"/>
      <c r="Q53" s="61"/>
      <c r="R53" s="61"/>
      <c r="S53" s="46" t="s">
        <v>65</v>
      </c>
      <c r="T53" s="46"/>
      <c r="U53" s="46"/>
      <c r="V53" s="59" t="s">
        <v>65</v>
      </c>
      <c r="W53" s="62">
        <f t="shared" si="0"/>
        <v>0</v>
      </c>
      <c r="X53" s="63">
        <f t="shared" si="1"/>
        <v>0</v>
      </c>
      <c r="Y53" s="79"/>
      <c r="Z53" s="120"/>
      <c r="AA53" s="2"/>
    </row>
    <row r="54" spans="1:27" ht="21" customHeight="1">
      <c r="A54" s="54"/>
      <c r="B54" s="86"/>
      <c r="C54" s="76"/>
      <c r="D54" s="75"/>
      <c r="E54" s="76"/>
      <c r="F54" s="75"/>
      <c r="G54" s="76"/>
      <c r="H54" s="79"/>
      <c r="I54" s="79"/>
      <c r="J54" s="79"/>
      <c r="K54" s="79"/>
      <c r="L54" s="79"/>
      <c r="M54" s="45" t="s">
        <v>64</v>
      </c>
      <c r="N54" s="126">
        <v>1</v>
      </c>
      <c r="O54" s="46"/>
      <c r="P54" s="46"/>
      <c r="Q54" s="61"/>
      <c r="R54" s="61"/>
      <c r="S54" s="46" t="s">
        <v>65</v>
      </c>
      <c r="T54" s="46"/>
      <c r="U54" s="46"/>
      <c r="V54" s="45" t="s">
        <v>65</v>
      </c>
      <c r="W54" s="62">
        <f t="shared" si="0"/>
        <v>0</v>
      </c>
      <c r="X54" s="63">
        <f t="shared" si="1"/>
        <v>0</v>
      </c>
      <c r="Y54" s="79"/>
      <c r="Z54" s="120"/>
      <c r="AA54" s="2"/>
    </row>
    <row r="55" spans="1:27" ht="21" customHeight="1">
      <c r="A55" s="54"/>
      <c r="B55" s="87"/>
      <c r="C55" s="78"/>
      <c r="D55" s="77"/>
      <c r="E55" s="78"/>
      <c r="F55" s="77"/>
      <c r="G55" s="78"/>
      <c r="H55" s="80"/>
      <c r="I55" s="80"/>
      <c r="J55" s="80"/>
      <c r="K55" s="80"/>
      <c r="L55" s="80"/>
      <c r="M55" s="59" t="s">
        <v>66</v>
      </c>
      <c r="N55" s="80"/>
      <c r="O55" s="46"/>
      <c r="P55" s="46"/>
      <c r="Q55" s="61"/>
      <c r="R55" s="61"/>
      <c r="S55" s="46" t="s">
        <v>65</v>
      </c>
      <c r="T55" s="46"/>
      <c r="U55" s="46"/>
      <c r="V55" s="59" t="s">
        <v>65</v>
      </c>
      <c r="W55" s="62">
        <f t="shared" si="0"/>
        <v>0</v>
      </c>
      <c r="X55" s="63">
        <f t="shared" si="1"/>
        <v>0</v>
      </c>
      <c r="Y55" s="80"/>
      <c r="Z55" s="165"/>
      <c r="AA55" s="2"/>
    </row>
    <row r="56" spans="1:27" ht="21" customHeight="1">
      <c r="A56" s="54"/>
      <c r="B56" s="85">
        <v>2</v>
      </c>
      <c r="C56" s="74"/>
      <c r="D56" s="73"/>
      <c r="E56" s="74"/>
      <c r="F56" s="73">
        <f>F44</f>
        <v>0</v>
      </c>
      <c r="G56" s="74"/>
      <c r="H56" s="73">
        <f>H44</f>
        <v>0</v>
      </c>
      <c r="I56" s="73">
        <f>I44</f>
        <v>0</v>
      </c>
      <c r="J56" s="73">
        <v>2</v>
      </c>
      <c r="K56" s="102">
        <v>220</v>
      </c>
      <c r="L56" s="102">
        <v>50</v>
      </c>
      <c r="M56" s="45" t="s">
        <v>64</v>
      </c>
      <c r="N56" s="81">
        <v>0.25</v>
      </c>
      <c r="O56" s="46"/>
      <c r="P56" s="46"/>
      <c r="Q56" s="61"/>
      <c r="R56" s="61"/>
      <c r="S56" s="46" t="s">
        <v>65</v>
      </c>
      <c r="T56" s="46"/>
      <c r="U56" s="46"/>
      <c r="V56" s="45" t="s">
        <v>65</v>
      </c>
      <c r="W56" s="62">
        <f t="shared" si="0"/>
        <v>0</v>
      </c>
      <c r="X56" s="63">
        <f t="shared" si="1"/>
        <v>0</v>
      </c>
      <c r="Y56" s="88"/>
      <c r="Z56" s="119"/>
      <c r="AA56" s="2"/>
    </row>
    <row r="57" spans="1:27" ht="21" customHeight="1">
      <c r="A57" s="54"/>
      <c r="B57" s="86"/>
      <c r="C57" s="76"/>
      <c r="D57" s="75"/>
      <c r="E57" s="76"/>
      <c r="F57" s="75"/>
      <c r="G57" s="76"/>
      <c r="H57" s="79"/>
      <c r="I57" s="79"/>
      <c r="J57" s="79"/>
      <c r="K57" s="79"/>
      <c r="L57" s="79"/>
      <c r="M57" s="59" t="s">
        <v>66</v>
      </c>
      <c r="N57" s="80"/>
      <c r="O57" s="46"/>
      <c r="P57" s="46"/>
      <c r="Q57" s="61"/>
      <c r="R57" s="61"/>
      <c r="S57" s="46" t="s">
        <v>65</v>
      </c>
      <c r="T57" s="46"/>
      <c r="U57" s="46"/>
      <c r="V57" s="59" t="s">
        <v>65</v>
      </c>
      <c r="W57" s="62">
        <f t="shared" si="0"/>
        <v>0</v>
      </c>
      <c r="X57" s="63">
        <f t="shared" si="1"/>
        <v>0</v>
      </c>
      <c r="Y57" s="79"/>
      <c r="Z57" s="120"/>
      <c r="AA57" s="2"/>
    </row>
    <row r="58" spans="1:27" ht="21" customHeight="1">
      <c r="A58" s="54"/>
      <c r="B58" s="86"/>
      <c r="C58" s="76"/>
      <c r="D58" s="75"/>
      <c r="E58" s="76"/>
      <c r="F58" s="75"/>
      <c r="G58" s="76"/>
      <c r="H58" s="79"/>
      <c r="I58" s="79"/>
      <c r="J58" s="79"/>
      <c r="K58" s="79"/>
      <c r="L58" s="79"/>
      <c r="M58" s="45" t="s">
        <v>64</v>
      </c>
      <c r="N58" s="81">
        <v>0.5</v>
      </c>
      <c r="O58" s="46"/>
      <c r="P58" s="46"/>
      <c r="Q58" s="61"/>
      <c r="R58" s="61"/>
      <c r="S58" s="46" t="s">
        <v>65</v>
      </c>
      <c r="T58" s="46"/>
      <c r="U58" s="46"/>
      <c r="V58" s="45" t="s">
        <v>65</v>
      </c>
      <c r="W58" s="62">
        <f t="shared" si="0"/>
        <v>0</v>
      </c>
      <c r="X58" s="63">
        <f t="shared" si="1"/>
        <v>0</v>
      </c>
      <c r="Y58" s="79"/>
      <c r="Z58" s="120"/>
      <c r="AA58" s="2"/>
    </row>
    <row r="59" spans="1:27" ht="21" customHeight="1">
      <c r="A59" s="54"/>
      <c r="B59" s="86"/>
      <c r="C59" s="76"/>
      <c r="D59" s="75"/>
      <c r="E59" s="76"/>
      <c r="F59" s="75"/>
      <c r="G59" s="76"/>
      <c r="H59" s="79"/>
      <c r="I59" s="79"/>
      <c r="J59" s="79"/>
      <c r="K59" s="79"/>
      <c r="L59" s="79"/>
      <c r="M59" s="59" t="s">
        <v>66</v>
      </c>
      <c r="N59" s="80"/>
      <c r="O59" s="46"/>
      <c r="P59" s="46"/>
      <c r="Q59" s="61"/>
      <c r="R59" s="61"/>
      <c r="S59" s="46" t="s">
        <v>65</v>
      </c>
      <c r="T59" s="46"/>
      <c r="U59" s="46"/>
      <c r="V59" s="59" t="s">
        <v>65</v>
      </c>
      <c r="W59" s="62">
        <f t="shared" si="0"/>
        <v>0</v>
      </c>
      <c r="X59" s="63">
        <f t="shared" si="1"/>
        <v>0</v>
      </c>
      <c r="Y59" s="79"/>
      <c r="Z59" s="120"/>
      <c r="AA59" s="2"/>
    </row>
    <row r="60" spans="1:27" ht="21" customHeight="1">
      <c r="A60" s="54"/>
      <c r="B60" s="86"/>
      <c r="C60" s="76"/>
      <c r="D60" s="75"/>
      <c r="E60" s="76"/>
      <c r="F60" s="75"/>
      <c r="G60" s="76"/>
      <c r="H60" s="79"/>
      <c r="I60" s="79"/>
      <c r="J60" s="79"/>
      <c r="K60" s="79"/>
      <c r="L60" s="79"/>
      <c r="M60" s="45" t="s">
        <v>64</v>
      </c>
      <c r="N60" s="126">
        <v>1</v>
      </c>
      <c r="O60" s="46"/>
      <c r="P60" s="46"/>
      <c r="Q60" s="61"/>
      <c r="R60" s="61"/>
      <c r="S60" s="46" t="s">
        <v>65</v>
      </c>
      <c r="T60" s="46"/>
      <c r="U60" s="46"/>
      <c r="V60" s="45" t="s">
        <v>65</v>
      </c>
      <c r="W60" s="62">
        <f t="shared" si="0"/>
        <v>0</v>
      </c>
      <c r="X60" s="63">
        <f t="shared" si="1"/>
        <v>0</v>
      </c>
      <c r="Y60" s="79"/>
      <c r="Z60" s="120"/>
      <c r="AA60" s="2"/>
    </row>
    <row r="61" spans="1:27" ht="21" customHeight="1">
      <c r="A61" s="54"/>
      <c r="B61" s="86"/>
      <c r="C61" s="76"/>
      <c r="D61" s="75"/>
      <c r="E61" s="76"/>
      <c r="F61" s="75"/>
      <c r="G61" s="76"/>
      <c r="H61" s="79"/>
      <c r="I61" s="79"/>
      <c r="J61" s="79"/>
      <c r="K61" s="80"/>
      <c r="L61" s="80"/>
      <c r="M61" s="59" t="s">
        <v>66</v>
      </c>
      <c r="N61" s="80"/>
      <c r="O61" s="46"/>
      <c r="P61" s="46"/>
      <c r="Q61" s="61"/>
      <c r="R61" s="61"/>
      <c r="S61" s="46" t="s">
        <v>65</v>
      </c>
      <c r="T61" s="46"/>
      <c r="U61" s="46"/>
      <c r="V61" s="59" t="s">
        <v>65</v>
      </c>
      <c r="W61" s="62">
        <f t="shared" si="0"/>
        <v>0</v>
      </c>
      <c r="X61" s="63">
        <f t="shared" si="1"/>
        <v>0</v>
      </c>
      <c r="Y61" s="80"/>
      <c r="Z61" s="165"/>
      <c r="AA61" s="2"/>
    </row>
    <row r="62" spans="1:27" ht="21" customHeight="1">
      <c r="A62" s="54"/>
      <c r="B62" s="86"/>
      <c r="C62" s="76"/>
      <c r="D62" s="75"/>
      <c r="E62" s="76"/>
      <c r="F62" s="75"/>
      <c r="G62" s="76"/>
      <c r="H62" s="79"/>
      <c r="I62" s="79"/>
      <c r="J62" s="79"/>
      <c r="K62" s="102">
        <v>110</v>
      </c>
      <c r="L62" s="102">
        <v>60</v>
      </c>
      <c r="M62" s="45" t="s">
        <v>64</v>
      </c>
      <c r="N62" s="81">
        <v>0.25</v>
      </c>
      <c r="O62" s="46"/>
      <c r="P62" s="46"/>
      <c r="Q62" s="61"/>
      <c r="R62" s="61"/>
      <c r="S62" s="46" t="s">
        <v>65</v>
      </c>
      <c r="T62" s="46"/>
      <c r="U62" s="46"/>
      <c r="V62" s="45" t="s">
        <v>65</v>
      </c>
      <c r="W62" s="62">
        <f t="shared" si="0"/>
        <v>0</v>
      </c>
      <c r="X62" s="63">
        <f t="shared" si="1"/>
        <v>0</v>
      </c>
      <c r="Y62" s="88"/>
      <c r="Z62" s="119"/>
      <c r="AA62" s="2"/>
    </row>
    <row r="63" spans="1:27" ht="21" customHeight="1">
      <c r="A63" s="54"/>
      <c r="B63" s="86"/>
      <c r="C63" s="76"/>
      <c r="D63" s="75"/>
      <c r="E63" s="76"/>
      <c r="F63" s="75"/>
      <c r="G63" s="76"/>
      <c r="H63" s="79"/>
      <c r="I63" s="79"/>
      <c r="J63" s="79"/>
      <c r="K63" s="79"/>
      <c r="L63" s="79"/>
      <c r="M63" s="59" t="s">
        <v>66</v>
      </c>
      <c r="N63" s="80"/>
      <c r="O63" s="46"/>
      <c r="P63" s="46"/>
      <c r="Q63" s="61"/>
      <c r="R63" s="61"/>
      <c r="S63" s="46" t="s">
        <v>65</v>
      </c>
      <c r="T63" s="46"/>
      <c r="U63" s="46"/>
      <c r="V63" s="59" t="s">
        <v>65</v>
      </c>
      <c r="W63" s="62">
        <f t="shared" si="0"/>
        <v>0</v>
      </c>
      <c r="X63" s="63">
        <f t="shared" si="1"/>
        <v>0</v>
      </c>
      <c r="Y63" s="79"/>
      <c r="Z63" s="120"/>
      <c r="AA63" s="2"/>
    </row>
    <row r="64" spans="1:27" ht="21" customHeight="1">
      <c r="A64" s="54"/>
      <c r="B64" s="86"/>
      <c r="C64" s="76"/>
      <c r="D64" s="75"/>
      <c r="E64" s="76"/>
      <c r="F64" s="75"/>
      <c r="G64" s="76"/>
      <c r="H64" s="79"/>
      <c r="I64" s="79"/>
      <c r="J64" s="79"/>
      <c r="K64" s="79"/>
      <c r="L64" s="79"/>
      <c r="M64" s="45" t="s">
        <v>64</v>
      </c>
      <c r="N64" s="81">
        <v>0.5</v>
      </c>
      <c r="O64" s="46"/>
      <c r="P64" s="47"/>
      <c r="Q64" s="61"/>
      <c r="R64" s="61"/>
      <c r="S64" s="46" t="s">
        <v>65</v>
      </c>
      <c r="T64" s="46"/>
      <c r="U64" s="46"/>
      <c r="V64" s="45" t="s">
        <v>65</v>
      </c>
      <c r="W64" s="62">
        <f t="shared" si="0"/>
        <v>0</v>
      </c>
      <c r="X64" s="63">
        <f t="shared" si="1"/>
        <v>0</v>
      </c>
      <c r="Y64" s="79"/>
      <c r="Z64" s="120"/>
      <c r="AA64" s="2"/>
    </row>
    <row r="65" spans="1:27" ht="21" customHeight="1">
      <c r="A65" s="54"/>
      <c r="B65" s="86"/>
      <c r="C65" s="76"/>
      <c r="D65" s="75"/>
      <c r="E65" s="76"/>
      <c r="F65" s="75"/>
      <c r="G65" s="76"/>
      <c r="H65" s="79"/>
      <c r="I65" s="79"/>
      <c r="J65" s="79"/>
      <c r="K65" s="79"/>
      <c r="L65" s="79"/>
      <c r="M65" s="59" t="s">
        <v>66</v>
      </c>
      <c r="N65" s="80"/>
      <c r="O65" s="46"/>
      <c r="P65" s="46"/>
      <c r="Q65" s="61"/>
      <c r="R65" s="61"/>
      <c r="S65" s="46" t="s">
        <v>65</v>
      </c>
      <c r="T65" s="46"/>
      <c r="U65" s="46"/>
      <c r="V65" s="59" t="s">
        <v>65</v>
      </c>
      <c r="W65" s="62">
        <f t="shared" si="0"/>
        <v>0</v>
      </c>
      <c r="X65" s="63">
        <f t="shared" si="1"/>
        <v>0</v>
      </c>
      <c r="Y65" s="79"/>
      <c r="Z65" s="120"/>
      <c r="AA65" s="2"/>
    </row>
    <row r="66" spans="1:27" ht="21" customHeight="1">
      <c r="A66" s="54"/>
      <c r="B66" s="86"/>
      <c r="C66" s="76"/>
      <c r="D66" s="75"/>
      <c r="E66" s="76"/>
      <c r="F66" s="75"/>
      <c r="G66" s="76"/>
      <c r="H66" s="79"/>
      <c r="I66" s="79"/>
      <c r="J66" s="79"/>
      <c r="K66" s="79"/>
      <c r="L66" s="79"/>
      <c r="M66" s="45" t="s">
        <v>64</v>
      </c>
      <c r="N66" s="126">
        <v>1</v>
      </c>
      <c r="O66" s="46"/>
      <c r="P66" s="46"/>
      <c r="Q66" s="61"/>
      <c r="R66" s="61"/>
      <c r="S66" s="46" t="s">
        <v>65</v>
      </c>
      <c r="T66" s="46"/>
      <c r="U66" s="46"/>
      <c r="V66" s="45" t="s">
        <v>65</v>
      </c>
      <c r="W66" s="62">
        <f t="shared" si="0"/>
        <v>0</v>
      </c>
      <c r="X66" s="63">
        <f t="shared" si="1"/>
        <v>0</v>
      </c>
      <c r="Y66" s="79"/>
      <c r="Z66" s="120"/>
      <c r="AA66" s="2"/>
    </row>
    <row r="67" spans="1:27" ht="21" customHeight="1">
      <c r="A67" s="54"/>
      <c r="B67" s="87"/>
      <c r="C67" s="78"/>
      <c r="D67" s="77"/>
      <c r="E67" s="78"/>
      <c r="F67" s="77"/>
      <c r="G67" s="78"/>
      <c r="H67" s="80"/>
      <c r="I67" s="80"/>
      <c r="J67" s="80"/>
      <c r="K67" s="80"/>
      <c r="L67" s="80"/>
      <c r="M67" s="59" t="s">
        <v>66</v>
      </c>
      <c r="N67" s="80"/>
      <c r="O67" s="46"/>
      <c r="P67" s="46"/>
      <c r="Q67" s="61"/>
      <c r="R67" s="61"/>
      <c r="S67" s="46" t="s">
        <v>65</v>
      </c>
      <c r="T67" s="46"/>
      <c r="U67" s="46"/>
      <c r="V67" s="59" t="s">
        <v>65</v>
      </c>
      <c r="W67" s="62">
        <f t="shared" si="0"/>
        <v>0</v>
      </c>
      <c r="X67" s="63">
        <f t="shared" si="1"/>
        <v>0</v>
      </c>
      <c r="Y67" s="80"/>
      <c r="Z67" s="165"/>
      <c r="AA67" s="2"/>
    </row>
    <row r="68" spans="1:27" ht="21" customHeight="1">
      <c r="A68" s="54"/>
      <c r="B68" s="85">
        <v>3</v>
      </c>
      <c r="C68" s="74"/>
      <c r="D68" s="73"/>
      <c r="E68" s="74"/>
      <c r="F68" s="73">
        <f>F56</f>
        <v>0</v>
      </c>
      <c r="G68" s="74"/>
      <c r="H68" s="73">
        <f>H56</f>
        <v>0</v>
      </c>
      <c r="I68" s="73">
        <f>I56</f>
        <v>0</v>
      </c>
      <c r="J68" s="73">
        <v>3</v>
      </c>
      <c r="K68" s="102">
        <v>220</v>
      </c>
      <c r="L68" s="102">
        <v>50</v>
      </c>
      <c r="M68" s="45" t="s">
        <v>64</v>
      </c>
      <c r="N68" s="81">
        <v>0.25</v>
      </c>
      <c r="O68" s="46"/>
      <c r="P68" s="46"/>
      <c r="Q68" s="61"/>
      <c r="R68" s="61"/>
      <c r="S68" s="46" t="s">
        <v>65</v>
      </c>
      <c r="T68" s="46"/>
      <c r="U68" s="46"/>
      <c r="V68" s="45" t="s">
        <v>65</v>
      </c>
      <c r="W68" s="62">
        <f t="shared" si="0"/>
        <v>0</v>
      </c>
      <c r="X68" s="63">
        <f t="shared" si="1"/>
        <v>0</v>
      </c>
      <c r="Y68" s="88"/>
      <c r="Z68" s="119"/>
      <c r="AA68" s="2"/>
    </row>
    <row r="69" spans="1:27" ht="21" customHeight="1">
      <c r="A69" s="54"/>
      <c r="B69" s="86"/>
      <c r="C69" s="76"/>
      <c r="D69" s="75"/>
      <c r="E69" s="76"/>
      <c r="F69" s="75"/>
      <c r="G69" s="76"/>
      <c r="H69" s="79"/>
      <c r="I69" s="79"/>
      <c r="J69" s="79"/>
      <c r="K69" s="79"/>
      <c r="L69" s="79"/>
      <c r="M69" s="59" t="s">
        <v>66</v>
      </c>
      <c r="N69" s="80"/>
      <c r="O69" s="46"/>
      <c r="P69" s="46"/>
      <c r="Q69" s="61"/>
      <c r="R69" s="61"/>
      <c r="S69" s="46" t="s">
        <v>65</v>
      </c>
      <c r="T69" s="46"/>
      <c r="U69" s="46"/>
      <c r="V69" s="59" t="s">
        <v>65</v>
      </c>
      <c r="W69" s="62">
        <f t="shared" si="0"/>
        <v>0</v>
      </c>
      <c r="X69" s="63">
        <f t="shared" si="1"/>
        <v>0</v>
      </c>
      <c r="Y69" s="79"/>
      <c r="Z69" s="120"/>
      <c r="AA69" s="2"/>
    </row>
    <row r="70" spans="1:27" ht="21" customHeight="1">
      <c r="A70" s="54"/>
      <c r="B70" s="86"/>
      <c r="C70" s="76"/>
      <c r="D70" s="75"/>
      <c r="E70" s="76"/>
      <c r="F70" s="75"/>
      <c r="G70" s="76"/>
      <c r="H70" s="79"/>
      <c r="I70" s="79"/>
      <c r="J70" s="79"/>
      <c r="K70" s="79"/>
      <c r="L70" s="79"/>
      <c r="M70" s="45" t="s">
        <v>64</v>
      </c>
      <c r="N70" s="81">
        <v>0.5</v>
      </c>
      <c r="O70" s="46"/>
      <c r="P70" s="46"/>
      <c r="Q70" s="61"/>
      <c r="R70" s="61"/>
      <c r="S70" s="46" t="s">
        <v>65</v>
      </c>
      <c r="T70" s="46"/>
      <c r="U70" s="46"/>
      <c r="V70" s="45" t="s">
        <v>65</v>
      </c>
      <c r="W70" s="62">
        <f t="shared" si="0"/>
        <v>0</v>
      </c>
      <c r="X70" s="63">
        <f t="shared" si="1"/>
        <v>0</v>
      </c>
      <c r="Y70" s="79"/>
      <c r="Z70" s="120"/>
      <c r="AA70" s="2"/>
    </row>
    <row r="71" spans="1:27" ht="21" customHeight="1">
      <c r="A71" s="54"/>
      <c r="B71" s="86"/>
      <c r="C71" s="76"/>
      <c r="D71" s="75"/>
      <c r="E71" s="76"/>
      <c r="F71" s="75"/>
      <c r="G71" s="76"/>
      <c r="H71" s="79"/>
      <c r="I71" s="79"/>
      <c r="J71" s="79"/>
      <c r="K71" s="79"/>
      <c r="L71" s="79"/>
      <c r="M71" s="59" t="s">
        <v>66</v>
      </c>
      <c r="N71" s="80"/>
      <c r="O71" s="46"/>
      <c r="P71" s="46"/>
      <c r="Q71" s="61"/>
      <c r="R71" s="61"/>
      <c r="S71" s="46" t="s">
        <v>65</v>
      </c>
      <c r="T71" s="46"/>
      <c r="U71" s="46"/>
      <c r="V71" s="59" t="s">
        <v>65</v>
      </c>
      <c r="W71" s="62">
        <f t="shared" si="0"/>
        <v>0</v>
      </c>
      <c r="X71" s="63">
        <f t="shared" si="1"/>
        <v>0</v>
      </c>
      <c r="Y71" s="79"/>
      <c r="Z71" s="120"/>
      <c r="AA71" s="2"/>
    </row>
    <row r="72" spans="1:27" ht="21" customHeight="1">
      <c r="A72" s="54"/>
      <c r="B72" s="86"/>
      <c r="C72" s="76"/>
      <c r="D72" s="75"/>
      <c r="E72" s="76"/>
      <c r="F72" s="75"/>
      <c r="G72" s="76"/>
      <c r="H72" s="79"/>
      <c r="I72" s="79"/>
      <c r="J72" s="79"/>
      <c r="K72" s="79"/>
      <c r="L72" s="79"/>
      <c r="M72" s="45" t="s">
        <v>64</v>
      </c>
      <c r="N72" s="126">
        <v>1</v>
      </c>
      <c r="O72" s="46"/>
      <c r="P72" s="46"/>
      <c r="Q72" s="61"/>
      <c r="R72" s="61"/>
      <c r="S72" s="46" t="s">
        <v>65</v>
      </c>
      <c r="T72" s="46"/>
      <c r="U72" s="46"/>
      <c r="V72" s="45" t="s">
        <v>65</v>
      </c>
      <c r="W72" s="62">
        <f t="shared" si="0"/>
        <v>0</v>
      </c>
      <c r="X72" s="63">
        <f t="shared" si="1"/>
        <v>0</v>
      </c>
      <c r="Y72" s="79"/>
      <c r="Z72" s="120"/>
      <c r="AA72" s="2"/>
    </row>
    <row r="73" spans="1:27" ht="21" customHeight="1">
      <c r="A73" s="54"/>
      <c r="B73" s="86"/>
      <c r="C73" s="76"/>
      <c r="D73" s="75"/>
      <c r="E73" s="76"/>
      <c r="F73" s="75"/>
      <c r="G73" s="76"/>
      <c r="H73" s="79"/>
      <c r="I73" s="79"/>
      <c r="J73" s="79"/>
      <c r="K73" s="80"/>
      <c r="L73" s="80"/>
      <c r="M73" s="59" t="s">
        <v>66</v>
      </c>
      <c r="N73" s="80"/>
      <c r="O73" s="46"/>
      <c r="P73" s="46"/>
      <c r="Q73" s="61"/>
      <c r="R73" s="61"/>
      <c r="S73" s="46" t="s">
        <v>65</v>
      </c>
      <c r="T73" s="46"/>
      <c r="U73" s="46"/>
      <c r="V73" s="59" t="s">
        <v>65</v>
      </c>
      <c r="W73" s="62">
        <f t="shared" si="0"/>
        <v>0</v>
      </c>
      <c r="X73" s="63">
        <f t="shared" si="1"/>
        <v>0</v>
      </c>
      <c r="Y73" s="80"/>
      <c r="Z73" s="165"/>
      <c r="AA73" s="2"/>
    </row>
    <row r="74" spans="1:27" ht="21" customHeight="1">
      <c r="A74" s="54"/>
      <c r="B74" s="86"/>
      <c r="C74" s="76"/>
      <c r="D74" s="75"/>
      <c r="E74" s="76"/>
      <c r="F74" s="75"/>
      <c r="G74" s="76"/>
      <c r="H74" s="79"/>
      <c r="I74" s="79"/>
      <c r="J74" s="79"/>
      <c r="K74" s="102">
        <v>110</v>
      </c>
      <c r="L74" s="102">
        <v>60</v>
      </c>
      <c r="M74" s="45" t="s">
        <v>64</v>
      </c>
      <c r="N74" s="81">
        <v>0.25</v>
      </c>
      <c r="O74" s="46"/>
      <c r="P74" s="46"/>
      <c r="Q74" s="61"/>
      <c r="R74" s="61"/>
      <c r="S74" s="46" t="s">
        <v>65</v>
      </c>
      <c r="T74" s="46"/>
      <c r="U74" s="46"/>
      <c r="V74" s="45" t="s">
        <v>65</v>
      </c>
      <c r="W74" s="62">
        <f t="shared" si="0"/>
        <v>0</v>
      </c>
      <c r="X74" s="63">
        <f t="shared" si="1"/>
        <v>0</v>
      </c>
      <c r="Y74" s="88"/>
      <c r="Z74" s="119"/>
      <c r="AA74" s="2"/>
    </row>
    <row r="75" spans="1:27" ht="21" customHeight="1">
      <c r="A75" s="54"/>
      <c r="B75" s="86"/>
      <c r="C75" s="76"/>
      <c r="D75" s="75"/>
      <c r="E75" s="76"/>
      <c r="F75" s="75"/>
      <c r="G75" s="76"/>
      <c r="H75" s="79"/>
      <c r="I75" s="79"/>
      <c r="J75" s="79"/>
      <c r="K75" s="79"/>
      <c r="L75" s="79"/>
      <c r="M75" s="59" t="s">
        <v>66</v>
      </c>
      <c r="N75" s="80"/>
      <c r="O75" s="46"/>
      <c r="P75" s="46"/>
      <c r="Q75" s="61"/>
      <c r="R75" s="61"/>
      <c r="S75" s="46" t="s">
        <v>65</v>
      </c>
      <c r="T75" s="46"/>
      <c r="U75" s="46"/>
      <c r="V75" s="59" t="s">
        <v>65</v>
      </c>
      <c r="W75" s="62">
        <f t="shared" si="0"/>
        <v>0</v>
      </c>
      <c r="X75" s="63">
        <f t="shared" si="1"/>
        <v>0</v>
      </c>
      <c r="Y75" s="79"/>
      <c r="Z75" s="120"/>
      <c r="AA75" s="2"/>
    </row>
    <row r="76" spans="1:27" ht="21" customHeight="1">
      <c r="A76" s="54"/>
      <c r="B76" s="86"/>
      <c r="C76" s="76"/>
      <c r="D76" s="75"/>
      <c r="E76" s="76"/>
      <c r="F76" s="75"/>
      <c r="G76" s="76"/>
      <c r="H76" s="79"/>
      <c r="I76" s="79"/>
      <c r="J76" s="79"/>
      <c r="K76" s="79"/>
      <c r="L76" s="79"/>
      <c r="M76" s="45" t="s">
        <v>64</v>
      </c>
      <c r="N76" s="81">
        <v>0.5</v>
      </c>
      <c r="O76" s="46"/>
      <c r="P76" s="47"/>
      <c r="Q76" s="61"/>
      <c r="R76" s="61"/>
      <c r="S76" s="46" t="s">
        <v>65</v>
      </c>
      <c r="T76" s="46"/>
      <c r="U76" s="46"/>
      <c r="V76" s="45" t="s">
        <v>65</v>
      </c>
      <c r="W76" s="62">
        <f t="shared" ref="W76:W115" si="2">T76-Q76</f>
        <v>0</v>
      </c>
      <c r="X76" s="63">
        <f t="shared" ref="X76:X115" si="3">U76-R76</f>
        <v>0</v>
      </c>
      <c r="Y76" s="79"/>
      <c r="Z76" s="120"/>
      <c r="AA76" s="2"/>
    </row>
    <row r="77" spans="1:27" ht="21" customHeight="1">
      <c r="A77" s="54"/>
      <c r="B77" s="86"/>
      <c r="C77" s="76"/>
      <c r="D77" s="75"/>
      <c r="E77" s="76"/>
      <c r="F77" s="75"/>
      <c r="G77" s="76"/>
      <c r="H77" s="79"/>
      <c r="I77" s="79"/>
      <c r="J77" s="79"/>
      <c r="K77" s="79"/>
      <c r="L77" s="79"/>
      <c r="M77" s="59" t="s">
        <v>66</v>
      </c>
      <c r="N77" s="80"/>
      <c r="O77" s="46"/>
      <c r="P77" s="46"/>
      <c r="Q77" s="61"/>
      <c r="R77" s="61"/>
      <c r="S77" s="46" t="s">
        <v>65</v>
      </c>
      <c r="T77" s="46"/>
      <c r="U77" s="46"/>
      <c r="V77" s="59" t="s">
        <v>65</v>
      </c>
      <c r="W77" s="62">
        <f t="shared" si="2"/>
        <v>0</v>
      </c>
      <c r="X77" s="63">
        <f t="shared" si="3"/>
        <v>0</v>
      </c>
      <c r="Y77" s="79"/>
      <c r="Z77" s="120"/>
      <c r="AA77" s="2"/>
    </row>
    <row r="78" spans="1:27" ht="21" customHeight="1">
      <c r="A78" s="54"/>
      <c r="B78" s="86"/>
      <c r="C78" s="76"/>
      <c r="D78" s="75"/>
      <c r="E78" s="76"/>
      <c r="F78" s="75"/>
      <c r="G78" s="76"/>
      <c r="H78" s="79"/>
      <c r="I78" s="79"/>
      <c r="J78" s="79"/>
      <c r="K78" s="79"/>
      <c r="L78" s="79"/>
      <c r="M78" s="45" t="s">
        <v>64</v>
      </c>
      <c r="N78" s="126">
        <v>1</v>
      </c>
      <c r="O78" s="46"/>
      <c r="P78" s="46"/>
      <c r="Q78" s="61"/>
      <c r="R78" s="61"/>
      <c r="S78" s="46" t="s">
        <v>65</v>
      </c>
      <c r="T78" s="46"/>
      <c r="U78" s="46"/>
      <c r="V78" s="45" t="s">
        <v>65</v>
      </c>
      <c r="W78" s="62">
        <f t="shared" si="2"/>
        <v>0</v>
      </c>
      <c r="X78" s="63">
        <f t="shared" si="3"/>
        <v>0</v>
      </c>
      <c r="Y78" s="79"/>
      <c r="Z78" s="120"/>
      <c r="AA78" s="2"/>
    </row>
    <row r="79" spans="1:27" ht="21" customHeight="1">
      <c r="A79" s="54"/>
      <c r="B79" s="87"/>
      <c r="C79" s="78"/>
      <c r="D79" s="77"/>
      <c r="E79" s="78"/>
      <c r="F79" s="77"/>
      <c r="G79" s="78"/>
      <c r="H79" s="80"/>
      <c r="I79" s="80"/>
      <c r="J79" s="80"/>
      <c r="K79" s="80"/>
      <c r="L79" s="80"/>
      <c r="M79" s="59" t="s">
        <v>66</v>
      </c>
      <c r="N79" s="80"/>
      <c r="O79" s="46"/>
      <c r="P79" s="46"/>
      <c r="Q79" s="61"/>
      <c r="R79" s="61"/>
      <c r="S79" s="46" t="s">
        <v>65</v>
      </c>
      <c r="T79" s="46"/>
      <c r="U79" s="46"/>
      <c r="V79" s="59" t="s">
        <v>65</v>
      </c>
      <c r="W79" s="62">
        <f t="shared" si="2"/>
        <v>0</v>
      </c>
      <c r="X79" s="63">
        <f t="shared" si="3"/>
        <v>0</v>
      </c>
      <c r="Y79" s="80"/>
      <c r="Z79" s="165"/>
      <c r="AA79" s="2"/>
    </row>
    <row r="80" spans="1:27" ht="21" customHeight="1">
      <c r="A80" s="54"/>
      <c r="B80" s="85">
        <v>4</v>
      </c>
      <c r="C80" s="74"/>
      <c r="D80" s="73"/>
      <c r="E80" s="74"/>
      <c r="F80" s="73">
        <f>F68</f>
        <v>0</v>
      </c>
      <c r="G80" s="74"/>
      <c r="H80" s="73">
        <f>H68</f>
        <v>0</v>
      </c>
      <c r="I80" s="73">
        <f>I68</f>
        <v>0</v>
      </c>
      <c r="J80" s="73">
        <v>4</v>
      </c>
      <c r="K80" s="102">
        <v>220</v>
      </c>
      <c r="L80" s="102">
        <v>50</v>
      </c>
      <c r="M80" s="45" t="s">
        <v>64</v>
      </c>
      <c r="N80" s="81">
        <v>0.25</v>
      </c>
      <c r="O80" s="46"/>
      <c r="P80" s="46"/>
      <c r="Q80" s="61"/>
      <c r="R80" s="61"/>
      <c r="S80" s="46" t="s">
        <v>65</v>
      </c>
      <c r="T80" s="46"/>
      <c r="U80" s="46"/>
      <c r="V80" s="45" t="s">
        <v>65</v>
      </c>
      <c r="W80" s="62">
        <f t="shared" si="2"/>
        <v>0</v>
      </c>
      <c r="X80" s="63">
        <f t="shared" si="3"/>
        <v>0</v>
      </c>
      <c r="Y80" s="88"/>
      <c r="Z80" s="119"/>
      <c r="AA80" s="2"/>
    </row>
    <row r="81" spans="1:27" ht="21" customHeight="1">
      <c r="A81" s="54"/>
      <c r="B81" s="86"/>
      <c r="C81" s="76"/>
      <c r="D81" s="75"/>
      <c r="E81" s="76"/>
      <c r="F81" s="75"/>
      <c r="G81" s="76"/>
      <c r="H81" s="79"/>
      <c r="I81" s="79"/>
      <c r="J81" s="79"/>
      <c r="K81" s="79"/>
      <c r="L81" s="79"/>
      <c r="M81" s="59" t="s">
        <v>66</v>
      </c>
      <c r="N81" s="80"/>
      <c r="O81" s="46"/>
      <c r="P81" s="46"/>
      <c r="Q81" s="61"/>
      <c r="R81" s="61"/>
      <c r="S81" s="46" t="s">
        <v>65</v>
      </c>
      <c r="T81" s="46"/>
      <c r="U81" s="46"/>
      <c r="V81" s="59" t="s">
        <v>65</v>
      </c>
      <c r="W81" s="62">
        <f t="shared" si="2"/>
        <v>0</v>
      </c>
      <c r="X81" s="63">
        <f t="shared" si="3"/>
        <v>0</v>
      </c>
      <c r="Y81" s="79"/>
      <c r="Z81" s="120"/>
      <c r="AA81" s="2"/>
    </row>
    <row r="82" spans="1:27" ht="21" customHeight="1">
      <c r="A82" s="54"/>
      <c r="B82" s="86"/>
      <c r="C82" s="76"/>
      <c r="D82" s="75"/>
      <c r="E82" s="76"/>
      <c r="F82" s="75"/>
      <c r="G82" s="76"/>
      <c r="H82" s="79"/>
      <c r="I82" s="79"/>
      <c r="J82" s="79"/>
      <c r="K82" s="79"/>
      <c r="L82" s="79"/>
      <c r="M82" s="45" t="s">
        <v>64</v>
      </c>
      <c r="N82" s="81">
        <v>0.5</v>
      </c>
      <c r="O82" s="46"/>
      <c r="P82" s="46"/>
      <c r="Q82" s="61"/>
      <c r="R82" s="61"/>
      <c r="S82" s="46" t="s">
        <v>65</v>
      </c>
      <c r="T82" s="46"/>
      <c r="U82" s="46"/>
      <c r="V82" s="45" t="s">
        <v>65</v>
      </c>
      <c r="W82" s="62">
        <f t="shared" si="2"/>
        <v>0</v>
      </c>
      <c r="X82" s="63">
        <f t="shared" si="3"/>
        <v>0</v>
      </c>
      <c r="Y82" s="79"/>
      <c r="Z82" s="120"/>
      <c r="AA82" s="2"/>
    </row>
    <row r="83" spans="1:27" ht="21" customHeight="1">
      <c r="A83" s="54"/>
      <c r="B83" s="86"/>
      <c r="C83" s="76"/>
      <c r="D83" s="75"/>
      <c r="E83" s="76"/>
      <c r="F83" s="75"/>
      <c r="G83" s="76"/>
      <c r="H83" s="79"/>
      <c r="I83" s="79"/>
      <c r="J83" s="79"/>
      <c r="K83" s="79"/>
      <c r="L83" s="79"/>
      <c r="M83" s="59" t="s">
        <v>66</v>
      </c>
      <c r="N83" s="80"/>
      <c r="O83" s="46"/>
      <c r="P83" s="46"/>
      <c r="Q83" s="61"/>
      <c r="R83" s="61"/>
      <c r="S83" s="46" t="s">
        <v>65</v>
      </c>
      <c r="T83" s="46"/>
      <c r="U83" s="46"/>
      <c r="V83" s="59" t="s">
        <v>65</v>
      </c>
      <c r="W83" s="62">
        <f t="shared" si="2"/>
        <v>0</v>
      </c>
      <c r="X83" s="63">
        <f t="shared" si="3"/>
        <v>0</v>
      </c>
      <c r="Y83" s="79"/>
      <c r="Z83" s="120"/>
      <c r="AA83" s="2"/>
    </row>
    <row r="84" spans="1:27" ht="21" customHeight="1">
      <c r="A84" s="54"/>
      <c r="B84" s="86"/>
      <c r="C84" s="76"/>
      <c r="D84" s="75"/>
      <c r="E84" s="76"/>
      <c r="F84" s="75"/>
      <c r="G84" s="76"/>
      <c r="H84" s="79"/>
      <c r="I84" s="79"/>
      <c r="J84" s="79"/>
      <c r="K84" s="79"/>
      <c r="L84" s="79"/>
      <c r="M84" s="45" t="s">
        <v>64</v>
      </c>
      <c r="N84" s="126">
        <v>1</v>
      </c>
      <c r="O84" s="46"/>
      <c r="P84" s="46"/>
      <c r="Q84" s="61"/>
      <c r="R84" s="61"/>
      <c r="S84" s="46" t="s">
        <v>65</v>
      </c>
      <c r="T84" s="46"/>
      <c r="U84" s="46"/>
      <c r="V84" s="45" t="s">
        <v>65</v>
      </c>
      <c r="W84" s="62">
        <f t="shared" si="2"/>
        <v>0</v>
      </c>
      <c r="X84" s="63">
        <f t="shared" si="3"/>
        <v>0</v>
      </c>
      <c r="Y84" s="79"/>
      <c r="Z84" s="120"/>
      <c r="AA84" s="2"/>
    </row>
    <row r="85" spans="1:27" ht="21" customHeight="1">
      <c r="A85" s="54"/>
      <c r="B85" s="86"/>
      <c r="C85" s="76"/>
      <c r="D85" s="75"/>
      <c r="E85" s="76"/>
      <c r="F85" s="75"/>
      <c r="G85" s="76"/>
      <c r="H85" s="79"/>
      <c r="I85" s="79"/>
      <c r="J85" s="79"/>
      <c r="K85" s="80"/>
      <c r="L85" s="80"/>
      <c r="M85" s="59" t="s">
        <v>66</v>
      </c>
      <c r="N85" s="80"/>
      <c r="O85" s="46"/>
      <c r="P85" s="46"/>
      <c r="Q85" s="61"/>
      <c r="R85" s="61"/>
      <c r="S85" s="46" t="s">
        <v>65</v>
      </c>
      <c r="T85" s="46"/>
      <c r="U85" s="46"/>
      <c r="V85" s="59" t="s">
        <v>65</v>
      </c>
      <c r="W85" s="62">
        <f t="shared" si="2"/>
        <v>0</v>
      </c>
      <c r="X85" s="63">
        <f t="shared" si="3"/>
        <v>0</v>
      </c>
      <c r="Y85" s="80"/>
      <c r="Z85" s="165"/>
      <c r="AA85" s="2"/>
    </row>
    <row r="86" spans="1:27" ht="21" customHeight="1">
      <c r="A86" s="54"/>
      <c r="B86" s="86"/>
      <c r="C86" s="76"/>
      <c r="D86" s="75"/>
      <c r="E86" s="76"/>
      <c r="F86" s="75"/>
      <c r="G86" s="76"/>
      <c r="H86" s="79"/>
      <c r="I86" s="79"/>
      <c r="J86" s="79"/>
      <c r="K86" s="102">
        <v>110</v>
      </c>
      <c r="L86" s="102">
        <v>60</v>
      </c>
      <c r="M86" s="45" t="s">
        <v>64</v>
      </c>
      <c r="N86" s="81">
        <v>0.25</v>
      </c>
      <c r="O86" s="46"/>
      <c r="P86" s="46"/>
      <c r="Q86" s="61"/>
      <c r="R86" s="61"/>
      <c r="S86" s="46" t="s">
        <v>65</v>
      </c>
      <c r="T86" s="46"/>
      <c r="U86" s="46"/>
      <c r="V86" s="45" t="s">
        <v>65</v>
      </c>
      <c r="W86" s="62">
        <f t="shared" si="2"/>
        <v>0</v>
      </c>
      <c r="X86" s="63">
        <f t="shared" si="3"/>
        <v>0</v>
      </c>
      <c r="Y86" s="88"/>
      <c r="Z86" s="119"/>
      <c r="AA86" s="2"/>
    </row>
    <row r="87" spans="1:27" ht="21" customHeight="1">
      <c r="A87" s="54"/>
      <c r="B87" s="86"/>
      <c r="C87" s="76"/>
      <c r="D87" s="75"/>
      <c r="E87" s="76"/>
      <c r="F87" s="75"/>
      <c r="G87" s="76"/>
      <c r="H87" s="79"/>
      <c r="I87" s="79"/>
      <c r="J87" s="79"/>
      <c r="K87" s="79"/>
      <c r="L87" s="79"/>
      <c r="M87" s="59" t="s">
        <v>66</v>
      </c>
      <c r="N87" s="80"/>
      <c r="O87" s="46"/>
      <c r="P87" s="46"/>
      <c r="Q87" s="61"/>
      <c r="R87" s="61"/>
      <c r="S87" s="46" t="s">
        <v>65</v>
      </c>
      <c r="T87" s="46"/>
      <c r="U87" s="46"/>
      <c r="V87" s="59" t="s">
        <v>65</v>
      </c>
      <c r="W87" s="62">
        <f t="shared" si="2"/>
        <v>0</v>
      </c>
      <c r="X87" s="63">
        <f t="shared" si="3"/>
        <v>0</v>
      </c>
      <c r="Y87" s="79"/>
      <c r="Z87" s="120"/>
      <c r="AA87" s="2"/>
    </row>
    <row r="88" spans="1:27" ht="21" customHeight="1">
      <c r="A88" s="54"/>
      <c r="B88" s="86"/>
      <c r="C88" s="76"/>
      <c r="D88" s="75"/>
      <c r="E88" s="76"/>
      <c r="F88" s="75"/>
      <c r="G88" s="76"/>
      <c r="H88" s="79"/>
      <c r="I88" s="79"/>
      <c r="J88" s="79"/>
      <c r="K88" s="79"/>
      <c r="L88" s="79"/>
      <c r="M88" s="45" t="s">
        <v>64</v>
      </c>
      <c r="N88" s="81">
        <v>0.5</v>
      </c>
      <c r="O88" s="46"/>
      <c r="P88" s="47"/>
      <c r="Q88" s="61"/>
      <c r="R88" s="61"/>
      <c r="S88" s="46" t="s">
        <v>65</v>
      </c>
      <c r="T88" s="46"/>
      <c r="U88" s="46"/>
      <c r="V88" s="45" t="s">
        <v>65</v>
      </c>
      <c r="W88" s="62">
        <f t="shared" si="2"/>
        <v>0</v>
      </c>
      <c r="X88" s="63">
        <f t="shared" si="3"/>
        <v>0</v>
      </c>
      <c r="Y88" s="79"/>
      <c r="Z88" s="120"/>
      <c r="AA88" s="2"/>
    </row>
    <row r="89" spans="1:27" ht="21" customHeight="1">
      <c r="A89" s="54"/>
      <c r="B89" s="86"/>
      <c r="C89" s="76"/>
      <c r="D89" s="75"/>
      <c r="E89" s="76"/>
      <c r="F89" s="75"/>
      <c r="G89" s="76"/>
      <c r="H89" s="79"/>
      <c r="I89" s="79"/>
      <c r="J89" s="79"/>
      <c r="K89" s="79"/>
      <c r="L89" s="79"/>
      <c r="M89" s="59" t="s">
        <v>66</v>
      </c>
      <c r="N89" s="80"/>
      <c r="O89" s="46"/>
      <c r="P89" s="46"/>
      <c r="Q89" s="61"/>
      <c r="R89" s="61"/>
      <c r="S89" s="46" t="s">
        <v>65</v>
      </c>
      <c r="T89" s="46"/>
      <c r="U89" s="46"/>
      <c r="V89" s="59" t="s">
        <v>65</v>
      </c>
      <c r="W89" s="62">
        <f t="shared" si="2"/>
        <v>0</v>
      </c>
      <c r="X89" s="63">
        <f t="shared" si="3"/>
        <v>0</v>
      </c>
      <c r="Y89" s="79"/>
      <c r="Z89" s="120"/>
      <c r="AA89" s="2"/>
    </row>
    <row r="90" spans="1:27" ht="21" customHeight="1">
      <c r="A90" s="54"/>
      <c r="B90" s="86"/>
      <c r="C90" s="76"/>
      <c r="D90" s="75"/>
      <c r="E90" s="76"/>
      <c r="F90" s="75"/>
      <c r="G90" s="76"/>
      <c r="H90" s="79"/>
      <c r="I90" s="79"/>
      <c r="J90" s="79"/>
      <c r="K90" s="79"/>
      <c r="L90" s="79"/>
      <c r="M90" s="45" t="s">
        <v>64</v>
      </c>
      <c r="N90" s="126">
        <v>1</v>
      </c>
      <c r="O90" s="46"/>
      <c r="P90" s="46"/>
      <c r="Q90" s="61"/>
      <c r="R90" s="61"/>
      <c r="S90" s="46" t="s">
        <v>65</v>
      </c>
      <c r="T90" s="46"/>
      <c r="U90" s="46"/>
      <c r="V90" s="45" t="s">
        <v>65</v>
      </c>
      <c r="W90" s="62">
        <f t="shared" si="2"/>
        <v>0</v>
      </c>
      <c r="X90" s="63">
        <f t="shared" si="3"/>
        <v>0</v>
      </c>
      <c r="Y90" s="79"/>
      <c r="Z90" s="120"/>
      <c r="AA90" s="2"/>
    </row>
    <row r="91" spans="1:27" ht="21" customHeight="1">
      <c r="A91" s="54"/>
      <c r="B91" s="87"/>
      <c r="C91" s="78"/>
      <c r="D91" s="77"/>
      <c r="E91" s="78"/>
      <c r="F91" s="77"/>
      <c r="G91" s="78"/>
      <c r="H91" s="80"/>
      <c r="I91" s="80"/>
      <c r="J91" s="80"/>
      <c r="K91" s="80"/>
      <c r="L91" s="80"/>
      <c r="M91" s="59" t="s">
        <v>66</v>
      </c>
      <c r="N91" s="80"/>
      <c r="O91" s="46"/>
      <c r="P91" s="46"/>
      <c r="Q91" s="61"/>
      <c r="R91" s="61"/>
      <c r="S91" s="46" t="s">
        <v>65</v>
      </c>
      <c r="T91" s="46"/>
      <c r="U91" s="46"/>
      <c r="V91" s="59" t="s">
        <v>65</v>
      </c>
      <c r="W91" s="62">
        <f t="shared" si="2"/>
        <v>0</v>
      </c>
      <c r="X91" s="63">
        <f t="shared" si="3"/>
        <v>0</v>
      </c>
      <c r="Y91" s="80"/>
      <c r="Z91" s="165"/>
      <c r="AA91" s="2"/>
    </row>
    <row r="92" spans="1:27" ht="21" customHeight="1">
      <c r="A92" s="54"/>
      <c r="B92" s="85">
        <v>5</v>
      </c>
      <c r="C92" s="74"/>
      <c r="D92" s="73"/>
      <c r="E92" s="74"/>
      <c r="F92" s="73">
        <f>F80</f>
        <v>0</v>
      </c>
      <c r="G92" s="74"/>
      <c r="H92" s="73">
        <f>H80</f>
        <v>0</v>
      </c>
      <c r="I92" s="73">
        <f>I80</f>
        <v>0</v>
      </c>
      <c r="J92" s="73">
        <v>4</v>
      </c>
      <c r="K92" s="102">
        <v>220</v>
      </c>
      <c r="L92" s="102">
        <v>50</v>
      </c>
      <c r="M92" s="45" t="s">
        <v>64</v>
      </c>
      <c r="N92" s="81">
        <v>0.25</v>
      </c>
      <c r="O92" s="46"/>
      <c r="P92" s="46"/>
      <c r="Q92" s="61"/>
      <c r="R92" s="61"/>
      <c r="S92" s="46" t="s">
        <v>65</v>
      </c>
      <c r="T92" s="46"/>
      <c r="U92" s="46"/>
      <c r="V92" s="45" t="s">
        <v>65</v>
      </c>
      <c r="W92" s="62">
        <f t="shared" ref="W92:W103" si="4">T92-Q92</f>
        <v>0</v>
      </c>
      <c r="X92" s="63">
        <f t="shared" ref="X92:X103" si="5">U92-R92</f>
        <v>0</v>
      </c>
      <c r="Y92" s="88"/>
      <c r="Z92" s="119"/>
      <c r="AA92" s="2"/>
    </row>
    <row r="93" spans="1:27" ht="21" customHeight="1">
      <c r="A93" s="54"/>
      <c r="B93" s="86"/>
      <c r="C93" s="76"/>
      <c r="D93" s="75"/>
      <c r="E93" s="76"/>
      <c r="F93" s="75"/>
      <c r="G93" s="76"/>
      <c r="H93" s="79"/>
      <c r="I93" s="79"/>
      <c r="J93" s="79"/>
      <c r="K93" s="79"/>
      <c r="L93" s="79"/>
      <c r="M93" s="59" t="s">
        <v>66</v>
      </c>
      <c r="N93" s="80"/>
      <c r="O93" s="46"/>
      <c r="P93" s="46"/>
      <c r="Q93" s="61"/>
      <c r="R93" s="61"/>
      <c r="S93" s="46" t="s">
        <v>65</v>
      </c>
      <c r="T93" s="46"/>
      <c r="U93" s="46"/>
      <c r="V93" s="59" t="s">
        <v>65</v>
      </c>
      <c r="W93" s="62">
        <f t="shared" si="4"/>
        <v>0</v>
      </c>
      <c r="X93" s="63">
        <f t="shared" si="5"/>
        <v>0</v>
      </c>
      <c r="Y93" s="79"/>
      <c r="Z93" s="120"/>
      <c r="AA93" s="2"/>
    </row>
    <row r="94" spans="1:27" ht="21" customHeight="1">
      <c r="A94" s="54"/>
      <c r="B94" s="86"/>
      <c r="C94" s="76"/>
      <c r="D94" s="75"/>
      <c r="E94" s="76"/>
      <c r="F94" s="75"/>
      <c r="G94" s="76"/>
      <c r="H94" s="79"/>
      <c r="I94" s="79"/>
      <c r="J94" s="79"/>
      <c r="K94" s="79"/>
      <c r="L94" s="79"/>
      <c r="M94" s="45" t="s">
        <v>64</v>
      </c>
      <c r="N94" s="81">
        <v>0.5</v>
      </c>
      <c r="O94" s="46"/>
      <c r="P94" s="46"/>
      <c r="Q94" s="61"/>
      <c r="R94" s="61"/>
      <c r="S94" s="46" t="s">
        <v>65</v>
      </c>
      <c r="T94" s="46"/>
      <c r="U94" s="46"/>
      <c r="V94" s="45" t="s">
        <v>65</v>
      </c>
      <c r="W94" s="62">
        <f t="shared" si="4"/>
        <v>0</v>
      </c>
      <c r="X94" s="63">
        <f t="shared" si="5"/>
        <v>0</v>
      </c>
      <c r="Y94" s="79"/>
      <c r="Z94" s="120"/>
      <c r="AA94" s="2"/>
    </row>
    <row r="95" spans="1:27" ht="21" customHeight="1">
      <c r="A95" s="54"/>
      <c r="B95" s="86"/>
      <c r="C95" s="76"/>
      <c r="D95" s="75"/>
      <c r="E95" s="76"/>
      <c r="F95" s="75"/>
      <c r="G95" s="76"/>
      <c r="H95" s="79"/>
      <c r="I95" s="79"/>
      <c r="J95" s="79"/>
      <c r="K95" s="79"/>
      <c r="L95" s="79"/>
      <c r="M95" s="59" t="s">
        <v>66</v>
      </c>
      <c r="N95" s="80"/>
      <c r="O95" s="46"/>
      <c r="P95" s="46"/>
      <c r="Q95" s="61"/>
      <c r="R95" s="61"/>
      <c r="S95" s="46" t="s">
        <v>65</v>
      </c>
      <c r="T95" s="46"/>
      <c r="U95" s="46"/>
      <c r="V95" s="59" t="s">
        <v>65</v>
      </c>
      <c r="W95" s="62">
        <f t="shared" si="4"/>
        <v>0</v>
      </c>
      <c r="X95" s="63">
        <f t="shared" si="5"/>
        <v>0</v>
      </c>
      <c r="Y95" s="79"/>
      <c r="Z95" s="120"/>
      <c r="AA95" s="2"/>
    </row>
    <row r="96" spans="1:27" ht="21" customHeight="1">
      <c r="A96" s="54"/>
      <c r="B96" s="86"/>
      <c r="C96" s="76"/>
      <c r="D96" s="75"/>
      <c r="E96" s="76"/>
      <c r="F96" s="75"/>
      <c r="G96" s="76"/>
      <c r="H96" s="79"/>
      <c r="I96" s="79"/>
      <c r="J96" s="79"/>
      <c r="K96" s="79"/>
      <c r="L96" s="79"/>
      <c r="M96" s="45" t="s">
        <v>64</v>
      </c>
      <c r="N96" s="126">
        <v>1</v>
      </c>
      <c r="O96" s="46"/>
      <c r="P96" s="46"/>
      <c r="Q96" s="61"/>
      <c r="R96" s="61"/>
      <c r="S96" s="46" t="s">
        <v>65</v>
      </c>
      <c r="T96" s="46"/>
      <c r="U96" s="46"/>
      <c r="V96" s="45" t="s">
        <v>65</v>
      </c>
      <c r="W96" s="62">
        <f t="shared" si="4"/>
        <v>0</v>
      </c>
      <c r="X96" s="63">
        <f t="shared" si="5"/>
        <v>0</v>
      </c>
      <c r="Y96" s="79"/>
      <c r="Z96" s="120"/>
      <c r="AA96" s="2"/>
    </row>
    <row r="97" spans="1:27" ht="21" customHeight="1">
      <c r="A97" s="54"/>
      <c r="B97" s="86"/>
      <c r="C97" s="76"/>
      <c r="D97" s="75"/>
      <c r="E97" s="76"/>
      <c r="F97" s="75"/>
      <c r="G97" s="76"/>
      <c r="H97" s="79"/>
      <c r="I97" s="79"/>
      <c r="J97" s="79"/>
      <c r="K97" s="80"/>
      <c r="L97" s="80"/>
      <c r="M97" s="59" t="s">
        <v>66</v>
      </c>
      <c r="N97" s="80"/>
      <c r="O97" s="46"/>
      <c r="P97" s="46"/>
      <c r="Q97" s="61"/>
      <c r="R97" s="61"/>
      <c r="S97" s="46" t="s">
        <v>65</v>
      </c>
      <c r="T97" s="46"/>
      <c r="U97" s="46"/>
      <c r="V97" s="59" t="s">
        <v>65</v>
      </c>
      <c r="W97" s="62">
        <f t="shared" si="4"/>
        <v>0</v>
      </c>
      <c r="X97" s="63">
        <f t="shared" si="5"/>
        <v>0</v>
      </c>
      <c r="Y97" s="80"/>
      <c r="Z97" s="165"/>
      <c r="AA97" s="2"/>
    </row>
    <row r="98" spans="1:27" ht="21" customHeight="1">
      <c r="A98" s="54"/>
      <c r="B98" s="86"/>
      <c r="C98" s="76"/>
      <c r="D98" s="75"/>
      <c r="E98" s="76"/>
      <c r="F98" s="75"/>
      <c r="G98" s="76"/>
      <c r="H98" s="79"/>
      <c r="I98" s="79"/>
      <c r="J98" s="79"/>
      <c r="K98" s="102">
        <v>110</v>
      </c>
      <c r="L98" s="102">
        <v>60</v>
      </c>
      <c r="M98" s="45" t="s">
        <v>64</v>
      </c>
      <c r="N98" s="81">
        <v>0.25</v>
      </c>
      <c r="O98" s="46"/>
      <c r="P98" s="46"/>
      <c r="Q98" s="61"/>
      <c r="R98" s="61"/>
      <c r="S98" s="46" t="s">
        <v>65</v>
      </c>
      <c r="T98" s="46"/>
      <c r="U98" s="46"/>
      <c r="V98" s="45" t="s">
        <v>65</v>
      </c>
      <c r="W98" s="62">
        <f t="shared" si="4"/>
        <v>0</v>
      </c>
      <c r="X98" s="63">
        <f t="shared" si="5"/>
        <v>0</v>
      </c>
      <c r="Y98" s="88"/>
      <c r="Z98" s="119"/>
      <c r="AA98" s="2"/>
    </row>
    <row r="99" spans="1:27" ht="21" customHeight="1">
      <c r="A99" s="54"/>
      <c r="B99" s="86"/>
      <c r="C99" s="76"/>
      <c r="D99" s="75"/>
      <c r="E99" s="76"/>
      <c r="F99" s="75"/>
      <c r="G99" s="76"/>
      <c r="H99" s="79"/>
      <c r="I99" s="79"/>
      <c r="J99" s="79"/>
      <c r="K99" s="79"/>
      <c r="L99" s="79"/>
      <c r="M99" s="59" t="s">
        <v>66</v>
      </c>
      <c r="N99" s="80"/>
      <c r="O99" s="46"/>
      <c r="P99" s="46"/>
      <c r="Q99" s="61"/>
      <c r="R99" s="61"/>
      <c r="S99" s="46" t="s">
        <v>65</v>
      </c>
      <c r="T99" s="46"/>
      <c r="U99" s="46"/>
      <c r="V99" s="59" t="s">
        <v>65</v>
      </c>
      <c r="W99" s="62">
        <f t="shared" si="4"/>
        <v>0</v>
      </c>
      <c r="X99" s="63">
        <f t="shared" si="5"/>
        <v>0</v>
      </c>
      <c r="Y99" s="79"/>
      <c r="Z99" s="120"/>
      <c r="AA99" s="2"/>
    </row>
    <row r="100" spans="1:27" ht="20.25" customHeight="1">
      <c r="A100" s="54"/>
      <c r="B100" s="86"/>
      <c r="C100" s="76"/>
      <c r="D100" s="75"/>
      <c r="E100" s="76"/>
      <c r="F100" s="75"/>
      <c r="G100" s="76"/>
      <c r="H100" s="79"/>
      <c r="I100" s="79"/>
      <c r="J100" s="79"/>
      <c r="K100" s="79"/>
      <c r="L100" s="79"/>
      <c r="M100" s="45" t="s">
        <v>64</v>
      </c>
      <c r="N100" s="81">
        <v>0.5</v>
      </c>
      <c r="O100" s="46"/>
      <c r="P100" s="47"/>
      <c r="Q100" s="61"/>
      <c r="R100" s="61"/>
      <c r="S100" s="46" t="s">
        <v>65</v>
      </c>
      <c r="T100" s="46"/>
      <c r="U100" s="46"/>
      <c r="V100" s="45" t="s">
        <v>65</v>
      </c>
      <c r="W100" s="62">
        <f t="shared" si="4"/>
        <v>0</v>
      </c>
      <c r="X100" s="63">
        <f t="shared" si="5"/>
        <v>0</v>
      </c>
      <c r="Y100" s="79"/>
      <c r="Z100" s="120"/>
      <c r="AA100" s="2"/>
    </row>
    <row r="101" spans="1:27" ht="21.75" customHeight="1">
      <c r="A101" s="54"/>
      <c r="B101" s="86"/>
      <c r="C101" s="76"/>
      <c r="D101" s="75"/>
      <c r="E101" s="76"/>
      <c r="F101" s="75"/>
      <c r="G101" s="76"/>
      <c r="H101" s="79"/>
      <c r="I101" s="79"/>
      <c r="J101" s="79"/>
      <c r="K101" s="79"/>
      <c r="L101" s="79"/>
      <c r="M101" s="59" t="s">
        <v>66</v>
      </c>
      <c r="N101" s="80"/>
      <c r="O101" s="46"/>
      <c r="P101" s="46"/>
      <c r="Q101" s="61"/>
      <c r="R101" s="61"/>
      <c r="S101" s="46" t="s">
        <v>65</v>
      </c>
      <c r="T101" s="46"/>
      <c r="U101" s="46"/>
      <c r="V101" s="59" t="s">
        <v>65</v>
      </c>
      <c r="W101" s="62">
        <f t="shared" si="4"/>
        <v>0</v>
      </c>
      <c r="X101" s="63">
        <f t="shared" si="5"/>
        <v>0</v>
      </c>
      <c r="Y101" s="79"/>
      <c r="Z101" s="120"/>
      <c r="AA101" s="2"/>
    </row>
    <row r="102" spans="1:27" ht="21.75" customHeight="1">
      <c r="A102" s="54"/>
      <c r="B102" s="86"/>
      <c r="C102" s="76"/>
      <c r="D102" s="75"/>
      <c r="E102" s="76"/>
      <c r="F102" s="75"/>
      <c r="G102" s="76"/>
      <c r="H102" s="79"/>
      <c r="I102" s="79"/>
      <c r="J102" s="79"/>
      <c r="K102" s="79"/>
      <c r="L102" s="79"/>
      <c r="M102" s="45" t="s">
        <v>64</v>
      </c>
      <c r="N102" s="126">
        <v>1</v>
      </c>
      <c r="O102" s="46"/>
      <c r="P102" s="46"/>
      <c r="Q102" s="61"/>
      <c r="R102" s="61"/>
      <c r="S102" s="46" t="s">
        <v>65</v>
      </c>
      <c r="T102" s="46"/>
      <c r="U102" s="46"/>
      <c r="V102" s="45" t="s">
        <v>65</v>
      </c>
      <c r="W102" s="62">
        <f t="shared" si="4"/>
        <v>0</v>
      </c>
      <c r="X102" s="63">
        <f t="shared" si="5"/>
        <v>0</v>
      </c>
      <c r="Y102" s="79"/>
      <c r="Z102" s="120"/>
      <c r="AA102" s="2"/>
    </row>
    <row r="103" spans="1:27" ht="21.75" customHeight="1">
      <c r="A103" s="54"/>
      <c r="B103" s="87"/>
      <c r="C103" s="78"/>
      <c r="D103" s="77"/>
      <c r="E103" s="78"/>
      <c r="F103" s="77"/>
      <c r="G103" s="78"/>
      <c r="H103" s="80"/>
      <c r="I103" s="80"/>
      <c r="J103" s="80"/>
      <c r="K103" s="80"/>
      <c r="L103" s="80"/>
      <c r="M103" s="59" t="s">
        <v>66</v>
      </c>
      <c r="N103" s="80"/>
      <c r="O103" s="46"/>
      <c r="P103" s="46"/>
      <c r="Q103" s="61"/>
      <c r="R103" s="61"/>
      <c r="S103" s="46" t="s">
        <v>65</v>
      </c>
      <c r="T103" s="46"/>
      <c r="U103" s="46"/>
      <c r="V103" s="59" t="s">
        <v>65</v>
      </c>
      <c r="W103" s="62">
        <f t="shared" si="4"/>
        <v>0</v>
      </c>
      <c r="X103" s="63">
        <f t="shared" si="5"/>
        <v>0</v>
      </c>
      <c r="Y103" s="80"/>
      <c r="Z103" s="165"/>
      <c r="AA103" s="2"/>
    </row>
    <row r="104" spans="1:27" ht="21.75" customHeight="1">
      <c r="A104" s="54"/>
      <c r="B104" s="85">
        <v>6</v>
      </c>
      <c r="C104" s="74"/>
      <c r="D104" s="73"/>
      <c r="E104" s="74"/>
      <c r="F104" s="73">
        <f>F80</f>
        <v>0</v>
      </c>
      <c r="G104" s="74"/>
      <c r="H104" s="73">
        <f>H80</f>
        <v>0</v>
      </c>
      <c r="I104" s="73">
        <f>I80</f>
        <v>0</v>
      </c>
      <c r="J104" s="73">
        <v>5</v>
      </c>
      <c r="K104" s="102">
        <v>220</v>
      </c>
      <c r="L104" s="102">
        <v>50</v>
      </c>
      <c r="M104" s="45" t="s">
        <v>64</v>
      </c>
      <c r="N104" s="81">
        <v>0.25</v>
      </c>
      <c r="O104" s="46"/>
      <c r="P104" s="46"/>
      <c r="Q104" s="61"/>
      <c r="R104" s="61"/>
      <c r="S104" s="46" t="s">
        <v>65</v>
      </c>
      <c r="T104" s="46"/>
      <c r="U104" s="46"/>
      <c r="V104" s="45" t="s">
        <v>65</v>
      </c>
      <c r="W104" s="62">
        <f t="shared" si="2"/>
        <v>0</v>
      </c>
      <c r="X104" s="63">
        <f t="shared" si="3"/>
        <v>0</v>
      </c>
      <c r="Y104" s="88"/>
      <c r="Z104" s="119"/>
      <c r="AA104" s="2"/>
    </row>
    <row r="105" spans="1:27" ht="21.75" customHeight="1">
      <c r="A105" s="54"/>
      <c r="B105" s="86"/>
      <c r="C105" s="76"/>
      <c r="D105" s="75"/>
      <c r="E105" s="76"/>
      <c r="F105" s="75"/>
      <c r="G105" s="76"/>
      <c r="H105" s="79"/>
      <c r="I105" s="79"/>
      <c r="J105" s="79"/>
      <c r="K105" s="79"/>
      <c r="L105" s="79"/>
      <c r="M105" s="59" t="s">
        <v>66</v>
      </c>
      <c r="N105" s="80"/>
      <c r="O105" s="46"/>
      <c r="P105" s="46"/>
      <c r="Q105" s="61"/>
      <c r="R105" s="61"/>
      <c r="S105" s="46" t="s">
        <v>65</v>
      </c>
      <c r="T105" s="46"/>
      <c r="U105" s="46"/>
      <c r="V105" s="59" t="s">
        <v>65</v>
      </c>
      <c r="W105" s="62">
        <f t="shared" si="2"/>
        <v>0</v>
      </c>
      <c r="X105" s="63">
        <f t="shared" si="3"/>
        <v>0</v>
      </c>
      <c r="Y105" s="79"/>
      <c r="Z105" s="120"/>
      <c r="AA105" s="2"/>
    </row>
    <row r="106" spans="1:27" ht="21.75" customHeight="1">
      <c r="A106" s="54"/>
      <c r="B106" s="86"/>
      <c r="C106" s="76"/>
      <c r="D106" s="75"/>
      <c r="E106" s="76"/>
      <c r="F106" s="75"/>
      <c r="G106" s="76"/>
      <c r="H106" s="79"/>
      <c r="I106" s="79"/>
      <c r="J106" s="79"/>
      <c r="K106" s="79"/>
      <c r="L106" s="79"/>
      <c r="M106" s="45" t="s">
        <v>64</v>
      </c>
      <c r="N106" s="81">
        <v>0.5</v>
      </c>
      <c r="O106" s="46"/>
      <c r="P106" s="46"/>
      <c r="Q106" s="61"/>
      <c r="R106" s="61"/>
      <c r="S106" s="46" t="s">
        <v>65</v>
      </c>
      <c r="T106" s="46"/>
      <c r="U106" s="46"/>
      <c r="V106" s="45" t="s">
        <v>65</v>
      </c>
      <c r="W106" s="62">
        <f t="shared" si="2"/>
        <v>0</v>
      </c>
      <c r="X106" s="63">
        <f t="shared" si="3"/>
        <v>0</v>
      </c>
      <c r="Y106" s="79"/>
      <c r="Z106" s="120"/>
      <c r="AA106" s="2"/>
    </row>
    <row r="107" spans="1:27" ht="21.75" customHeight="1">
      <c r="A107" s="54"/>
      <c r="B107" s="86"/>
      <c r="C107" s="76"/>
      <c r="D107" s="75"/>
      <c r="E107" s="76"/>
      <c r="F107" s="75"/>
      <c r="G107" s="76"/>
      <c r="H107" s="79"/>
      <c r="I107" s="79"/>
      <c r="J107" s="79"/>
      <c r="K107" s="79"/>
      <c r="L107" s="79"/>
      <c r="M107" s="59" t="s">
        <v>66</v>
      </c>
      <c r="N107" s="80"/>
      <c r="O107" s="46"/>
      <c r="P107" s="46"/>
      <c r="Q107" s="61"/>
      <c r="R107" s="61"/>
      <c r="S107" s="46" t="s">
        <v>65</v>
      </c>
      <c r="T107" s="46"/>
      <c r="U107" s="46"/>
      <c r="V107" s="59" t="s">
        <v>65</v>
      </c>
      <c r="W107" s="62">
        <f t="shared" si="2"/>
        <v>0</v>
      </c>
      <c r="X107" s="63">
        <f t="shared" si="3"/>
        <v>0</v>
      </c>
      <c r="Y107" s="79"/>
      <c r="Z107" s="120"/>
      <c r="AA107" s="2"/>
    </row>
    <row r="108" spans="1:27" ht="21.75" customHeight="1">
      <c r="A108" s="54"/>
      <c r="B108" s="86"/>
      <c r="C108" s="76"/>
      <c r="D108" s="75"/>
      <c r="E108" s="76"/>
      <c r="F108" s="75"/>
      <c r="G108" s="76"/>
      <c r="H108" s="79"/>
      <c r="I108" s="79"/>
      <c r="J108" s="79"/>
      <c r="K108" s="79"/>
      <c r="L108" s="79"/>
      <c r="M108" s="45" t="s">
        <v>64</v>
      </c>
      <c r="N108" s="126">
        <v>1</v>
      </c>
      <c r="O108" s="46"/>
      <c r="P108" s="46"/>
      <c r="Q108" s="61"/>
      <c r="R108" s="61"/>
      <c r="S108" s="46" t="s">
        <v>65</v>
      </c>
      <c r="T108" s="46"/>
      <c r="U108" s="46"/>
      <c r="V108" s="45" t="s">
        <v>65</v>
      </c>
      <c r="W108" s="62">
        <f t="shared" si="2"/>
        <v>0</v>
      </c>
      <c r="X108" s="63">
        <f t="shared" si="3"/>
        <v>0</v>
      </c>
      <c r="Y108" s="79"/>
      <c r="Z108" s="120"/>
    </row>
    <row r="109" spans="1:27" ht="21.75" customHeight="1">
      <c r="A109" s="54"/>
      <c r="B109" s="86"/>
      <c r="C109" s="76"/>
      <c r="D109" s="75"/>
      <c r="E109" s="76"/>
      <c r="F109" s="75"/>
      <c r="G109" s="76"/>
      <c r="H109" s="79"/>
      <c r="I109" s="79"/>
      <c r="J109" s="79"/>
      <c r="K109" s="80"/>
      <c r="L109" s="80"/>
      <c r="M109" s="59" t="s">
        <v>66</v>
      </c>
      <c r="N109" s="80"/>
      <c r="O109" s="46"/>
      <c r="P109" s="46"/>
      <c r="Q109" s="61"/>
      <c r="R109" s="61"/>
      <c r="S109" s="46" t="s">
        <v>65</v>
      </c>
      <c r="T109" s="46"/>
      <c r="U109" s="46"/>
      <c r="V109" s="59" t="s">
        <v>65</v>
      </c>
      <c r="W109" s="62">
        <f t="shared" si="2"/>
        <v>0</v>
      </c>
      <c r="X109" s="63">
        <f t="shared" si="3"/>
        <v>0</v>
      </c>
      <c r="Y109" s="80"/>
      <c r="Z109" s="165"/>
    </row>
    <row r="110" spans="1:27" ht="21.75" customHeight="1">
      <c r="A110" s="54"/>
      <c r="B110" s="86"/>
      <c r="C110" s="76"/>
      <c r="D110" s="75"/>
      <c r="E110" s="76"/>
      <c r="F110" s="75"/>
      <c r="G110" s="76"/>
      <c r="H110" s="79"/>
      <c r="I110" s="79"/>
      <c r="J110" s="79"/>
      <c r="K110" s="102">
        <v>110</v>
      </c>
      <c r="L110" s="102">
        <v>60</v>
      </c>
      <c r="M110" s="45" t="s">
        <v>64</v>
      </c>
      <c r="N110" s="81">
        <v>0.25</v>
      </c>
      <c r="O110" s="46"/>
      <c r="P110" s="46"/>
      <c r="Q110" s="61"/>
      <c r="R110" s="61"/>
      <c r="S110" s="46" t="s">
        <v>65</v>
      </c>
      <c r="T110" s="46"/>
      <c r="U110" s="46"/>
      <c r="V110" s="45" t="s">
        <v>65</v>
      </c>
      <c r="W110" s="62">
        <f t="shared" si="2"/>
        <v>0</v>
      </c>
      <c r="X110" s="63">
        <f t="shared" si="3"/>
        <v>0</v>
      </c>
      <c r="Y110" s="88"/>
      <c r="Z110" s="119"/>
    </row>
    <row r="111" spans="1:27" ht="21.75" customHeight="1">
      <c r="A111" s="54"/>
      <c r="B111" s="86"/>
      <c r="C111" s="76"/>
      <c r="D111" s="75"/>
      <c r="E111" s="76"/>
      <c r="F111" s="75"/>
      <c r="G111" s="76"/>
      <c r="H111" s="79"/>
      <c r="I111" s="79"/>
      <c r="J111" s="79"/>
      <c r="K111" s="79"/>
      <c r="L111" s="79"/>
      <c r="M111" s="59" t="s">
        <v>66</v>
      </c>
      <c r="N111" s="80"/>
      <c r="O111" s="46"/>
      <c r="P111" s="46"/>
      <c r="Q111" s="61"/>
      <c r="R111" s="61"/>
      <c r="S111" s="46" t="s">
        <v>65</v>
      </c>
      <c r="T111" s="46"/>
      <c r="U111" s="46"/>
      <c r="V111" s="59" t="s">
        <v>65</v>
      </c>
      <c r="W111" s="62">
        <f t="shared" si="2"/>
        <v>0</v>
      </c>
      <c r="X111" s="63">
        <f t="shared" si="3"/>
        <v>0</v>
      </c>
      <c r="Y111" s="79"/>
      <c r="Z111" s="120"/>
    </row>
    <row r="112" spans="1:27" ht="21.75" customHeight="1">
      <c r="A112" s="54"/>
      <c r="B112" s="86"/>
      <c r="C112" s="76"/>
      <c r="D112" s="75"/>
      <c r="E112" s="76"/>
      <c r="F112" s="75"/>
      <c r="G112" s="76"/>
      <c r="H112" s="79"/>
      <c r="I112" s="79"/>
      <c r="J112" s="79"/>
      <c r="K112" s="79"/>
      <c r="L112" s="79"/>
      <c r="M112" s="45" t="s">
        <v>64</v>
      </c>
      <c r="N112" s="81">
        <v>0.5</v>
      </c>
      <c r="O112" s="46"/>
      <c r="P112" s="47"/>
      <c r="Q112" s="61"/>
      <c r="R112" s="61"/>
      <c r="S112" s="46" t="s">
        <v>65</v>
      </c>
      <c r="T112" s="46"/>
      <c r="U112" s="46"/>
      <c r="V112" s="45" t="s">
        <v>65</v>
      </c>
      <c r="W112" s="62">
        <f t="shared" si="2"/>
        <v>0</v>
      </c>
      <c r="X112" s="63">
        <f t="shared" si="3"/>
        <v>0</v>
      </c>
      <c r="Y112" s="79"/>
      <c r="Z112" s="120"/>
    </row>
    <row r="113" spans="1:26" ht="21.75" customHeight="1">
      <c r="A113" s="54"/>
      <c r="B113" s="86"/>
      <c r="C113" s="76"/>
      <c r="D113" s="75"/>
      <c r="E113" s="76"/>
      <c r="F113" s="75"/>
      <c r="G113" s="76"/>
      <c r="H113" s="79"/>
      <c r="I113" s="79"/>
      <c r="J113" s="79"/>
      <c r="K113" s="79"/>
      <c r="L113" s="79"/>
      <c r="M113" s="59" t="s">
        <v>66</v>
      </c>
      <c r="N113" s="80"/>
      <c r="O113" s="46"/>
      <c r="P113" s="46"/>
      <c r="Q113" s="61"/>
      <c r="R113" s="61"/>
      <c r="S113" s="46" t="s">
        <v>65</v>
      </c>
      <c r="T113" s="46"/>
      <c r="U113" s="46"/>
      <c r="V113" s="59" t="s">
        <v>65</v>
      </c>
      <c r="W113" s="62">
        <f t="shared" si="2"/>
        <v>0</v>
      </c>
      <c r="X113" s="63">
        <f t="shared" si="3"/>
        <v>0</v>
      </c>
      <c r="Y113" s="79"/>
      <c r="Z113" s="120"/>
    </row>
    <row r="114" spans="1:26" ht="21.75" customHeight="1">
      <c r="A114" s="54"/>
      <c r="B114" s="86"/>
      <c r="C114" s="76"/>
      <c r="D114" s="75"/>
      <c r="E114" s="76"/>
      <c r="F114" s="75"/>
      <c r="G114" s="76"/>
      <c r="H114" s="79"/>
      <c r="I114" s="79"/>
      <c r="J114" s="79"/>
      <c r="K114" s="79"/>
      <c r="L114" s="79"/>
      <c r="M114" s="45" t="s">
        <v>64</v>
      </c>
      <c r="N114" s="126">
        <v>1</v>
      </c>
      <c r="O114" s="46"/>
      <c r="P114" s="46"/>
      <c r="Q114" s="61"/>
      <c r="R114" s="61"/>
      <c r="S114" s="46" t="s">
        <v>65</v>
      </c>
      <c r="T114" s="46"/>
      <c r="U114" s="46"/>
      <c r="V114" s="45" t="s">
        <v>65</v>
      </c>
      <c r="W114" s="62">
        <f t="shared" si="2"/>
        <v>0</v>
      </c>
      <c r="X114" s="63">
        <f t="shared" si="3"/>
        <v>0</v>
      </c>
      <c r="Y114" s="79"/>
      <c r="Z114" s="120"/>
    </row>
    <row r="115" spans="1:26" ht="21.75" customHeight="1" thickBot="1">
      <c r="A115" s="54"/>
      <c r="B115" s="136"/>
      <c r="C115" s="118"/>
      <c r="D115" s="117"/>
      <c r="E115" s="118"/>
      <c r="F115" s="117"/>
      <c r="G115" s="118"/>
      <c r="H115" s="141"/>
      <c r="I115" s="141"/>
      <c r="J115" s="141"/>
      <c r="K115" s="141"/>
      <c r="L115" s="141"/>
      <c r="M115" s="48" t="s">
        <v>66</v>
      </c>
      <c r="N115" s="141"/>
      <c r="O115" s="49"/>
      <c r="P115" s="49"/>
      <c r="Q115" s="64"/>
      <c r="R115" s="64"/>
      <c r="S115" s="49" t="s">
        <v>65</v>
      </c>
      <c r="T115" s="49"/>
      <c r="U115" s="49"/>
      <c r="V115" s="48" t="s">
        <v>65</v>
      </c>
      <c r="W115" s="65">
        <f t="shared" si="2"/>
        <v>0</v>
      </c>
      <c r="X115" s="66">
        <f t="shared" si="3"/>
        <v>0</v>
      </c>
      <c r="Y115" s="141"/>
      <c r="Z115" s="121"/>
    </row>
    <row r="116" spans="1:26">
      <c r="A116" s="2"/>
      <c r="B116" s="2" t="s">
        <v>67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 t="s">
        <v>68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 t="s">
        <v>69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 t="s">
        <v>70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</sheetData>
  <mergeCells count="193">
    <mergeCell ref="Y92:Y97"/>
    <mergeCell ref="Z92:Z97"/>
    <mergeCell ref="N94:N95"/>
    <mergeCell ref="N96:N97"/>
    <mergeCell ref="K98:K103"/>
    <mergeCell ref="L98:L103"/>
    <mergeCell ref="N98:N99"/>
    <mergeCell ref="Y98:Y103"/>
    <mergeCell ref="Z98:Z103"/>
    <mergeCell ref="N100:N101"/>
    <mergeCell ref="N102:N103"/>
    <mergeCell ref="M4:P4"/>
    <mergeCell ref="L12:M12"/>
    <mergeCell ref="N19:P19"/>
    <mergeCell ref="Z104:Z109"/>
    <mergeCell ref="F5:I5"/>
    <mergeCell ref="K110:K115"/>
    <mergeCell ref="H11:K11"/>
    <mergeCell ref="N106:N107"/>
    <mergeCell ref="N12:P12"/>
    <mergeCell ref="Y104:Y109"/>
    <mergeCell ref="F4:I4"/>
    <mergeCell ref="M5:P5"/>
    <mergeCell ref="L13:M13"/>
    <mergeCell ref="Y110:Y115"/>
    <mergeCell ref="F12:G12"/>
    <mergeCell ref="H6:I6"/>
    <mergeCell ref="Z86:Z91"/>
    <mergeCell ref="Z62:Z67"/>
    <mergeCell ref="Y44:Y49"/>
    <mergeCell ref="K86:K91"/>
    <mergeCell ref="J68:J79"/>
    <mergeCell ref="D29:P29"/>
    <mergeCell ref="K50:K55"/>
    <mergeCell ref="L110:L115"/>
    <mergeCell ref="L14:M14"/>
    <mergeCell ref="H68:H79"/>
    <mergeCell ref="N48:N49"/>
    <mergeCell ref="K56:K61"/>
    <mergeCell ref="K42:K43"/>
    <mergeCell ref="L86:L91"/>
    <mergeCell ref="N110:N111"/>
    <mergeCell ref="N112:N113"/>
    <mergeCell ref="N114:N115"/>
    <mergeCell ref="K74:K79"/>
    <mergeCell ref="N14:P14"/>
    <mergeCell ref="F20:M20"/>
    <mergeCell ref="I80:I91"/>
    <mergeCell ref="L104:L109"/>
    <mergeCell ref="F92:G103"/>
    <mergeCell ref="H92:H103"/>
    <mergeCell ref="I92:I103"/>
    <mergeCell ref="J92:J103"/>
    <mergeCell ref="K92:K97"/>
    <mergeCell ref="L92:L97"/>
    <mergeCell ref="N92:N93"/>
    <mergeCell ref="Z80:Z85"/>
    <mergeCell ref="Z56:Z61"/>
    <mergeCell ref="Z42:Z43"/>
    <mergeCell ref="N72:N73"/>
    <mergeCell ref="Z44:Z49"/>
    <mergeCell ref="N17:P17"/>
    <mergeCell ref="Y42:Y43"/>
    <mergeCell ref="N80:N81"/>
    <mergeCell ref="S42:U42"/>
    <mergeCell ref="N76:N77"/>
    <mergeCell ref="N82:N83"/>
    <mergeCell ref="N60:N61"/>
    <mergeCell ref="Y56:Y61"/>
    <mergeCell ref="N56:N57"/>
    <mergeCell ref="Z74:Z79"/>
    <mergeCell ref="Y62:Y67"/>
    <mergeCell ref="Z50:Z55"/>
    <mergeCell ref="Z68:Z73"/>
    <mergeCell ref="Y50:Y55"/>
    <mergeCell ref="H13:K13"/>
    <mergeCell ref="N66:N67"/>
    <mergeCell ref="H56:H67"/>
    <mergeCell ref="D36:P36"/>
    <mergeCell ref="N20:P20"/>
    <mergeCell ref="N86:N87"/>
    <mergeCell ref="C15:E15"/>
    <mergeCell ref="C24:E24"/>
    <mergeCell ref="B80:C91"/>
    <mergeCell ref="N70:N71"/>
    <mergeCell ref="N22:P22"/>
    <mergeCell ref="B27:P27"/>
    <mergeCell ref="N54:N55"/>
    <mergeCell ref="D80:E91"/>
    <mergeCell ref="F80:G91"/>
    <mergeCell ref="F15:P15"/>
    <mergeCell ref="L68:L73"/>
    <mergeCell ref="D56:E67"/>
    <mergeCell ref="N84:N85"/>
    <mergeCell ref="N44:N45"/>
    <mergeCell ref="F56:G67"/>
    <mergeCell ref="N78:N79"/>
    <mergeCell ref="F13:G13"/>
    <mergeCell ref="N90:N91"/>
    <mergeCell ref="M3:P3"/>
    <mergeCell ref="N18:P18"/>
    <mergeCell ref="K104:K109"/>
    <mergeCell ref="C22:E22"/>
    <mergeCell ref="N50:N51"/>
    <mergeCell ref="F6:G6"/>
    <mergeCell ref="N8:P8"/>
    <mergeCell ref="N68:N69"/>
    <mergeCell ref="D33:P33"/>
    <mergeCell ref="F68:G79"/>
    <mergeCell ref="N58:N59"/>
    <mergeCell ref="N52:N53"/>
    <mergeCell ref="N104:N105"/>
    <mergeCell ref="F24:M24"/>
    <mergeCell ref="L42:L43"/>
    <mergeCell ref="C12:E14"/>
    <mergeCell ref="N42:N43"/>
    <mergeCell ref="J56:J67"/>
    <mergeCell ref="I44:I55"/>
    <mergeCell ref="D39:P39"/>
    <mergeCell ref="D42:J42"/>
    <mergeCell ref="N62:N63"/>
    <mergeCell ref="C10:E10"/>
    <mergeCell ref="I104:I115"/>
    <mergeCell ref="C17:E17"/>
    <mergeCell ref="F18:M18"/>
    <mergeCell ref="F26:G26"/>
    <mergeCell ref="L62:L67"/>
    <mergeCell ref="B104:C115"/>
    <mergeCell ref="B42:C43"/>
    <mergeCell ref="D26:E26"/>
    <mergeCell ref="C20:E20"/>
    <mergeCell ref="L80:L85"/>
    <mergeCell ref="J80:J91"/>
    <mergeCell ref="L44:L49"/>
    <mergeCell ref="F43:G43"/>
    <mergeCell ref="K44:K49"/>
    <mergeCell ref="H44:H55"/>
    <mergeCell ref="J44:J55"/>
    <mergeCell ref="B44:C55"/>
    <mergeCell ref="H80:H91"/>
    <mergeCell ref="K80:K85"/>
    <mergeCell ref="H104:H115"/>
    <mergeCell ref="J104:J115"/>
    <mergeCell ref="B92:C103"/>
    <mergeCell ref="D92:E103"/>
    <mergeCell ref="F8:M8"/>
    <mergeCell ref="F17:M17"/>
    <mergeCell ref="N24:P24"/>
    <mergeCell ref="D43:E43"/>
    <mergeCell ref="D104:E115"/>
    <mergeCell ref="F104:G115"/>
    <mergeCell ref="Z110:Z115"/>
    <mergeCell ref="L50:L55"/>
    <mergeCell ref="Y80:Y85"/>
    <mergeCell ref="I68:I79"/>
    <mergeCell ref="V42:X42"/>
    <mergeCell ref="N11:P11"/>
    <mergeCell ref="L56:L61"/>
    <mergeCell ref="L11:M11"/>
    <mergeCell ref="F14:G14"/>
    <mergeCell ref="H12:K12"/>
    <mergeCell ref="K68:K73"/>
    <mergeCell ref="F19:M19"/>
    <mergeCell ref="N46:N47"/>
    <mergeCell ref="H14:K14"/>
    <mergeCell ref="N108:N109"/>
    <mergeCell ref="C11:E11"/>
    <mergeCell ref="C18:E19"/>
    <mergeCell ref="N88:N89"/>
    <mergeCell ref="F3:I3"/>
    <mergeCell ref="D68:E79"/>
    <mergeCell ref="I56:I67"/>
    <mergeCell ref="N74:N75"/>
    <mergeCell ref="M42:M43"/>
    <mergeCell ref="F22:M22"/>
    <mergeCell ref="B68:C79"/>
    <mergeCell ref="Y86:Y91"/>
    <mergeCell ref="M6:P6"/>
    <mergeCell ref="D44:E55"/>
    <mergeCell ref="F44:G55"/>
    <mergeCell ref="O42:R42"/>
    <mergeCell ref="Y74:Y79"/>
    <mergeCell ref="N13:P13"/>
    <mergeCell ref="N64:N65"/>
    <mergeCell ref="C8:E8"/>
    <mergeCell ref="B10:B15"/>
    <mergeCell ref="K62:K67"/>
    <mergeCell ref="D28:P28"/>
    <mergeCell ref="F11:G11"/>
    <mergeCell ref="B56:C67"/>
    <mergeCell ref="B18:B19"/>
    <mergeCell ref="Y68:Y73"/>
    <mergeCell ref="L74:L79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2025-09-26T01:43:27Z</dcterms:modified>
</cp:coreProperties>
</file>