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05" yWindow="-105" windowWidth="30930" windowHeight="1704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X54" i="1"/>
  <c r="W55" i="1"/>
  <c r="X55" i="1"/>
  <c r="W44" i="1"/>
  <c r="X44" i="1"/>
  <c r="W45" i="1"/>
  <c r="X45" i="1"/>
  <c r="W46" i="1"/>
  <c r="X46" i="1"/>
  <c r="W47" i="1"/>
  <c r="X47" i="1"/>
  <c r="F48" i="1"/>
  <c r="F52" i="1" s="1"/>
  <c r="H48" i="1"/>
  <c r="H52" i="1" s="1"/>
  <c r="I48" i="1"/>
  <c r="I52" i="1" s="1"/>
  <c r="W48" i="1"/>
  <c r="X48" i="1"/>
  <c r="W49" i="1"/>
  <c r="X49" i="1"/>
  <c r="W50" i="1"/>
  <c r="X50" i="1"/>
  <c r="W51" i="1"/>
  <c r="X51" i="1"/>
  <c r="W52" i="1"/>
  <c r="X52" i="1"/>
  <c r="W53" i="1"/>
  <c r="X53" i="1"/>
  <c r="F10" i="1" l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I56" i="1"/>
  <c r="I60" i="1" s="1"/>
  <c r="H56" i="1"/>
  <c r="H60" i="1" s="1"/>
  <c r="F56" i="1"/>
  <c r="F60" i="1" s="1"/>
  <c r="M6" i="1"/>
  <c r="H6" i="1"/>
</calcChain>
</file>

<file path=xl/sharedStrings.xml><?xml version="1.0" encoding="utf-8"?>
<sst xmlns="http://schemas.openxmlformats.org/spreadsheetml/2006/main" count="146" uniqueCount="80">
  <si>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</si>
  <si>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</si>
  <si>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</si>
  <si>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</si>
  <si>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</si>
  <si>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</si>
  <si>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</si>
  <si>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</si>
  <si>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</si>
  <si>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</si>
  <si>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</si>
  <si>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</si>
  <si>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</si>
  <si>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</si>
  <si>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</si>
  <si>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</si>
  <si>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</si>
  <si>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</si>
  <si>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</si>
  <si>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</si>
  <si>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</si>
  <si>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</si>
  <si>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</si>
  <si>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</si>
  <si>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</si>
  <si>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</si>
  <si>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</si>
  <si>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</si>
  <si>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</si>
  <si>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</si>
  <si>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</si>
  <si>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</si>
  <si>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</si>
  <si>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</si>
  <si>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</si>
  <si>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</si>
  <si>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</si>
  <si>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</si>
  <si>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</si>
  <si>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</si>
  <si>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</si>
  <si>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</si>
  <si>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</si>
  <si>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</si>
  <si>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</si>
  <si>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</si>
  <si>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</si>
  <si>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</si>
  <si>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</si>
  <si>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</si>
  <si>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</si>
  <si>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</si>
  <si>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</si>
  <si>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</si>
  <si>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</si>
  <si>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</si>
  <si>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</si>
  <si>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</si>
  <si>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</si>
  <si>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</si>
  <si>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</si>
  <si>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</si>
  <si>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</si>
  <si>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</si>
  <si>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</si>
  <si>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</si>
  <si>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</si>
  <si>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</si>
  <si>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</si>
  <si>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</si>
  <si>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</si>
  <si>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SN所在列</t>
    <phoneticPr fontId="103" type="noConversion"/>
  </si>
  <si>
    <t>SN所在行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</si>
  <si>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</si>
  <si>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</si>
  <si>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</si>
  <si>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结束行</t>
    <phoneticPr fontId="103" type="noConversion"/>
  </si>
  <si>
    <t>结束列</t>
    <phoneticPr fontId="103" type="noConversion"/>
  </si>
  <si>
    <t>数据所在列</t>
    <phoneticPr fontId="103" type="noConversion"/>
  </si>
  <si>
    <t>1. Test Condition:
The test shall be performed on the power supply unit with resister load specified above test compare with EMI requirement.
·  Basic Standard: Refer to EN 55032 and FCC 47 CFR Part 15 Subpart B
· Input voltage: 110Vac/60Hz, and 220Vac/50Hz.
· Output Load (per output): 100% of maximum rating load. 
2. Pass/Fail Criteria:
• Shall meet the reference standard or specified emission limit.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</si>
</sst>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7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1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7" xfId="2" applyFont="1" applyFill="1" applyBorder="1" applyAlignment="1">
      <alignment horizontal="center" vertical="center"/>
    </xf>
    <xf numFmtId="0" fontId="13" fillId="0" borderId="32" xfId="3" applyFont="1" applyBorder="1"/>
    <xf numFmtId="0" fontId="3" fillId="4" borderId="0" xfId="2" applyFont="1" applyFill="1" applyAlignment="1">
      <alignment vertical="center"/>
    </xf>
    <xf numFmtId="0" fontId="0" fillId="0" borderId="32" xfId="0" applyBorder="1" applyAlignment="1"/>
    <xf numFmtId="0" fontId="11" fillId="0" borderId="0" xfId="3" applyFont="1"/>
    <xf numFmtId="0" fontId="3" fillId="4" borderId="0" xfId="2" applyFont="1" applyFill="1" applyAlignment="1">
      <alignment horizontal="left" vertical="center"/>
    </xf>
    <xf numFmtId="0" fontId="4" fillId="0" borderId="11" xfId="3" applyBorder="1"/>
    <xf numFmtId="0" fontId="0" fillId="0" borderId="12" xfId="0" applyBorder="1" applyAlignment="1"/>
    <xf numFmtId="0" fontId="0" fillId="0" borderId="11" xfId="0" applyBorder="1" applyAlignment="1"/>
    <xf numFmtId="0" fontId="0" fillId="0" borderId="77" xfId="0" applyBorder="1">
      <alignment vertical="center"/>
    </xf>
    <xf numFmtId="0" fontId="0" fillId="0" borderId="88" xfId="0" applyBorder="1" applyAlignment="1"/>
    <xf numFmtId="0" fontId="0" fillId="0" borderId="83" xfId="0" applyBorder="1" applyAlignment="1"/>
    <xf numFmtId="0" fontId="13" fillId="5" borderId="98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5" fillId="0" borderId="73" xfId="3" applyFont="1" applyBorder="1" applyAlignment="1">
      <alignment horizontal="center" vertical="center" wrapText="1"/>
    </xf>
    <xf numFmtId="0" fontId="0" fillId="0" borderId="87" xfId="0" applyBorder="1" applyAlignment="1"/>
    <xf numFmtId="0" fontId="0" fillId="0" borderId="105" xfId="0" applyBorder="1" applyAlignment="1"/>
    <xf numFmtId="0" fontId="0" fillId="0" borderId="80" xfId="0" applyBorder="1" applyAlignment="1"/>
    <xf numFmtId="0" fontId="11" fillId="0" borderId="64" xfId="3" applyFont="1" applyBorder="1"/>
    <xf numFmtId="0" fontId="0" fillId="0" borderId="64" xfId="0" applyBorder="1" applyAlignment="1"/>
    <xf numFmtId="0" fontId="6" fillId="0" borderId="73" xfId="2" applyFont="1" applyBorder="1" applyAlignment="1">
      <alignment horizontal="center" vertical="center" wrapText="1"/>
    </xf>
    <xf numFmtId="14" fontId="5" fillId="5" borderId="99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4" fillId="0" borderId="73" xfId="3" applyBorder="1" applyAlignment="1">
      <alignment horizontal="center" vertical="center" wrapText="1"/>
    </xf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9" fontId="5" fillId="0" borderId="73" xfId="1" applyFont="1" applyBorder="1" applyAlignment="1">
      <alignment horizontal="center" vertical="center"/>
    </xf>
    <xf numFmtId="0" fontId="5" fillId="37" borderId="80" xfId="3" applyFont="1" applyFill="1" applyBorder="1" applyAlignment="1">
      <alignment horizontal="center" vertical="center" wrapText="1"/>
    </xf>
    <xf numFmtId="0" fontId="11" fillId="0" borderId="2" xfId="3" applyFont="1" applyBorder="1"/>
    <xf numFmtId="0" fontId="0" fillId="0" borderId="2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4" fillId="0" borderId="21" xfId="3" applyBorder="1"/>
    <xf numFmtId="0" fontId="0" fillId="0" borderId="22" xfId="0" applyBorder="1" applyAlignment="1"/>
    <xf numFmtId="0" fontId="0" fillId="0" borderId="21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1" xfId="0" applyBorder="1" applyAlignment="1"/>
    <xf numFmtId="0" fontId="4" fillId="0" borderId="1" xfId="3" applyBorder="1"/>
    <xf numFmtId="0" fontId="0" fillId="0" borderId="1" xfId="0" applyBorder="1" applyAlignment="1"/>
    <xf numFmtId="0" fontId="100" fillId="0" borderId="2" xfId="3" applyFont="1" applyBorder="1"/>
    <xf numFmtId="0" fontId="100" fillId="0" borderId="62" xfId="3" applyFont="1" applyBorder="1"/>
    <xf numFmtId="0" fontId="0" fillId="0" borderId="63" xfId="0" applyBorder="1" applyAlignment="1"/>
    <xf numFmtId="0" fontId="5" fillId="0" borderId="76" xfId="3" applyFont="1" applyBorder="1" applyAlignment="1">
      <alignment horizontal="center" vertical="center" wrapText="1"/>
    </xf>
    <xf numFmtId="0" fontId="0" fillId="0" borderId="102" xfId="0" applyBorder="1" applyAlignment="1"/>
    <xf numFmtId="0" fontId="0" fillId="0" borderId="3" xfId="0" applyBorder="1" applyAlignment="1"/>
    <xf numFmtId="0" fontId="0" fillId="0" borderId="85" xfId="0" applyBorder="1" applyAlignment="1"/>
    <xf numFmtId="0" fontId="0" fillId="0" borderId="89" xfId="0" applyBorder="1" applyAlignment="1"/>
    <xf numFmtId="0" fontId="0" fillId="0" borderId="86" xfId="0" applyBorder="1" applyAlignment="1"/>
    <xf numFmtId="0" fontId="4" fillId="0" borderId="9" xfId="3" applyBorder="1"/>
    <xf numFmtId="0" fontId="0" fillId="0" borderId="60" xfId="0" applyBorder="1" applyAlignment="1"/>
    <xf numFmtId="0" fontId="0" fillId="0" borderId="9" xfId="0" applyBorder="1" applyAlignment="1"/>
    <xf numFmtId="0" fontId="6" fillId="5" borderId="92" xfId="407" applyFont="1" applyFill="1" applyBorder="1" applyAlignment="1">
      <alignment horizontal="left" vertical="center" wrapText="1" indent="2"/>
    </xf>
    <xf numFmtId="0" fontId="0" fillId="0" borderId="84" xfId="0" applyBorder="1" applyAlignment="1"/>
    <xf numFmtId="0" fontId="11" fillId="0" borderId="1" xfId="3" applyFont="1" applyBorder="1" applyAlignment="1">
      <alignment wrapText="1"/>
    </xf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0" fontId="100" fillId="0" borderId="59" xfId="3" applyFont="1" applyBorder="1"/>
    <xf numFmtId="0" fontId="6" fillId="6" borderId="108" xfId="2" applyFont="1" applyFill="1" applyBorder="1" applyAlignment="1">
      <alignment horizontal="left" vertical="center" wrapText="1"/>
    </xf>
    <xf numFmtId="0" fontId="0" fillId="0" borderId="70" xfId="0" applyBorder="1" applyAlignment="1"/>
    <xf numFmtId="0" fontId="0" fillId="0" borderId="109" xfId="0" applyBorder="1" applyAlignment="1"/>
    <xf numFmtId="0" fontId="4" fillId="0" borderId="8" xfId="3" applyBorder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5" fillId="37" borderId="80" xfId="3" applyFont="1" applyFill="1" applyBorder="1" applyAlignment="1">
      <alignment horizontal="center" vertical="center"/>
    </xf>
    <xf numFmtId="0" fontId="8" fillId="37" borderId="80" xfId="407" applyFont="1" applyFill="1" applyBorder="1" applyAlignment="1">
      <alignment horizontal="center" vertical="center"/>
    </xf>
    <xf numFmtId="0" fontId="0" fillId="0" borderId="90" xfId="0" applyBorder="1" applyAlignment="1"/>
    <xf numFmtId="0" fontId="100" fillId="0" borderId="22" xfId="3" applyFont="1" applyBorder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0" fillId="0" borderId="101" xfId="0" applyBorder="1" applyAlignment="1"/>
    <xf numFmtId="0" fontId="0" fillId="0" borderId="103" xfId="0" applyBorder="1" applyAlignment="1"/>
    <xf numFmtId="0" fontId="102" fillId="37" borderId="79" xfId="3" applyFont="1" applyFill="1" applyBorder="1" applyAlignment="1">
      <alignment horizontal="center"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0" fillId="0" borderId="93" xfId="0" applyBorder="1" applyAlignment="1"/>
    <xf numFmtId="0" fontId="6" fillId="6" borderId="108" xfId="2" applyFont="1" applyFill="1" applyBorder="1" applyAlignment="1">
      <alignment horizontal="left" vertical="top" wrapText="1"/>
    </xf>
    <xf numFmtId="0" fontId="0" fillId="0" borderId="71" xfId="0" applyBorder="1" applyAlignment="1"/>
    <xf numFmtId="0" fontId="4" fillId="0" borderId="22" xfId="3" applyBorder="1"/>
    <xf numFmtId="0" fontId="4" fillId="0" borderId="7" xfId="3" applyBorder="1"/>
    <xf numFmtId="0" fontId="0" fillId="0" borderId="7" xfId="0" applyBorder="1" applyAlignment="1"/>
    <xf numFmtId="0" fontId="0" fillId="0" borderId="104" xfId="0" applyBorder="1" applyAlignment="1"/>
    <xf numFmtId="0" fontId="0" fillId="0" borderId="106" xfId="0" applyBorder="1" applyAlignment="1"/>
    <xf numFmtId="0" fontId="3" fillId="0" borderId="13" xfId="3" applyFont="1" applyBorder="1" applyAlignment="1">
      <alignment vertical="center" wrapText="1"/>
    </xf>
    <xf numFmtId="0" fontId="100" fillId="0" borderId="0" xfId="3" applyFont="1"/>
    <xf numFmtId="0" fontId="8" fillId="6" borderId="96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3" fillId="5" borderId="97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3" fillId="0" borderId="60" xfId="3" applyFont="1" applyBorder="1"/>
    <xf numFmtId="0" fontId="13" fillId="0" borderId="100" xfId="3" applyFont="1" applyBorder="1"/>
    <xf numFmtId="0" fontId="0" fillId="0" borderId="29" xfId="0" applyBorder="1" applyAlignment="1"/>
    <xf numFmtId="0" fontId="0" fillId="0" borderId="28" xfId="0" applyBorder="1" applyAlignment="1"/>
    <xf numFmtId="0" fontId="9" fillId="6" borderId="108" xfId="2" applyFont="1" applyFill="1" applyBorder="1" applyAlignment="1">
      <alignment horizontal="left" vertical="center"/>
    </xf>
    <xf numFmtId="0" fontId="9" fillId="6" borderId="94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100" fillId="0" borderId="95" xfId="3" applyFont="1" applyBorder="1" applyAlignment="1">
      <alignment horizontal="center" vertical="center"/>
    </xf>
    <xf numFmtId="0" fontId="0" fillId="0" borderId="16" xfId="0" applyBorder="1" applyAlignment="1"/>
    <xf numFmtId="9" fontId="5" fillId="0" borderId="110" xfId="1" applyFont="1" applyBorder="1" applyAlignment="1">
      <alignment horizontal="center" vertical="center"/>
    </xf>
    <xf numFmtId="9" fontId="5" fillId="0" borderId="80" xfId="1" applyFont="1" applyBorder="1" applyAlignment="1">
      <alignment horizontal="center" vertical="center"/>
    </xf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8" sqref="E8"/>
    </sheetView>
  </sheetViews>
  <sheetFormatPr defaultRowHeight="16.5"/>
  <cols>
    <col min="1" max="1" width="11.625" bestFit="1" customWidth="1"/>
  </cols>
  <sheetData>
    <row r="1" spans="1:2">
      <c r="A1" t="s">
        <v>72</v>
      </c>
      <c r="B1">
        <v>44</v>
      </c>
    </row>
    <row r="2" spans="1:2">
      <c r="A2" t="s">
        <v>71</v>
      </c>
      <c r="B2">
        <v>4</v>
      </c>
    </row>
    <row r="3" spans="1:2">
      <c r="A3" t="s">
        <v>73</v>
      </c>
      <c r="B3">
        <v>11</v>
      </c>
    </row>
    <row r="4" spans="1:2">
      <c r="A4" t="s">
        <v>74</v>
      </c>
      <c r="B4">
        <v>13</v>
      </c>
    </row>
    <row r="5" spans="1:2">
      <c r="A5" t="s">
        <v>75</v>
      </c>
      <c r="B5">
        <v>14</v>
      </c>
    </row>
    <row r="6" spans="1:2">
      <c r="A6" t="s">
        <v>78</v>
      </c>
      <c r="B6">
        <v>15</v>
      </c>
    </row>
    <row r="7" spans="1:2">
      <c r="A7" t="s">
        <v>76</v>
      </c>
      <c r="B7">
        <v>63</v>
      </c>
    </row>
    <row r="8" spans="1:2">
      <c r="A8" t="s">
        <v>77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abSelected="1" zoomScale="70" zoomScaleNormal="70" workbookViewId="0">
      <selection activeCell="X9" sqref="X9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5.125" style="1" customWidth="1"/>
    <col min="13" max="13" width="8.125" style="1" customWidth="1"/>
    <col min="14" max="14" width="6.5" style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11.12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5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5"/>
      <c r="B3" s="19" t="s">
        <v>1</v>
      </c>
      <c r="C3" s="18"/>
      <c r="D3" s="18"/>
      <c r="E3" s="18"/>
      <c r="F3" s="162" t="s">
        <v>2</v>
      </c>
      <c r="G3" s="163"/>
      <c r="H3" s="163"/>
      <c r="I3" s="164"/>
      <c r="J3" s="19" t="s">
        <v>3</v>
      </c>
      <c r="K3" s="18"/>
      <c r="L3" s="18"/>
      <c r="M3" s="124" t="s">
        <v>4</v>
      </c>
      <c r="N3" s="125"/>
      <c r="O3" s="125"/>
      <c r="P3" s="126"/>
      <c r="Q3" s="15"/>
      <c r="R3" s="6"/>
      <c r="S3" s="6"/>
    </row>
    <row r="4" spans="1:21" ht="15" customHeight="1">
      <c r="A4" s="55"/>
      <c r="B4" s="17" t="s">
        <v>5</v>
      </c>
      <c r="C4" s="16"/>
      <c r="D4" s="16"/>
      <c r="E4" s="16"/>
      <c r="F4" s="81" t="s">
        <v>6</v>
      </c>
      <c r="G4" s="82"/>
      <c r="H4" s="82"/>
      <c r="I4" s="83"/>
      <c r="J4" s="17" t="s">
        <v>7</v>
      </c>
      <c r="K4" s="16"/>
      <c r="L4" s="16"/>
      <c r="M4" s="70" t="s">
        <v>8</v>
      </c>
      <c r="N4" s="71"/>
      <c r="O4" s="71"/>
      <c r="P4" s="72"/>
      <c r="Q4" s="15"/>
      <c r="R4" s="11"/>
      <c r="S4" s="11"/>
    </row>
    <row r="5" spans="1:21" ht="15" customHeight="1">
      <c r="A5" s="55"/>
      <c r="B5" s="17" t="s">
        <v>9</v>
      </c>
      <c r="C5" s="16"/>
      <c r="D5" s="16"/>
      <c r="E5" s="16"/>
      <c r="F5" s="81"/>
      <c r="G5" s="82"/>
      <c r="H5" s="82"/>
      <c r="I5" s="83"/>
      <c r="J5" s="17" t="s">
        <v>10</v>
      </c>
      <c r="K5" s="16"/>
      <c r="L5" s="16"/>
      <c r="M5" s="70" t="s">
        <v>11</v>
      </c>
      <c r="N5" s="71"/>
      <c r="O5" s="71"/>
      <c r="P5" s="72"/>
      <c r="Q5" s="15"/>
      <c r="R5" s="14"/>
      <c r="S5" s="14"/>
    </row>
    <row r="6" spans="1:21" ht="15.75" customHeight="1" thickBot="1">
      <c r="A6" s="55"/>
      <c r="B6" s="13" t="s">
        <v>12</v>
      </c>
      <c r="C6" s="12"/>
      <c r="D6" s="12"/>
      <c r="E6" s="12"/>
      <c r="F6" s="91"/>
      <c r="G6" s="92"/>
      <c r="H6" s="91" t="str">
        <f>IF(F6&gt;0,F6,"")</f>
        <v/>
      </c>
      <c r="I6" s="92"/>
      <c r="J6" s="13" t="s">
        <v>13</v>
      </c>
      <c r="K6" s="12"/>
      <c r="L6" s="12"/>
      <c r="M6" s="166" t="str">
        <f>IF(F22&gt;0,F22, "")</f>
        <v>Pass</v>
      </c>
      <c r="N6" s="167"/>
      <c r="O6" s="167"/>
      <c r="P6" s="168"/>
      <c r="Q6" s="55"/>
      <c r="R6" s="6"/>
      <c r="S6" s="6"/>
    </row>
    <row r="7" spans="1:21" ht="4.5" customHeight="1" thickBo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6"/>
      <c r="S7" s="6"/>
    </row>
    <row r="8" spans="1:21" ht="120" customHeight="1" thickBot="1">
      <c r="A8" s="54"/>
      <c r="B8" s="69">
        <v>1</v>
      </c>
      <c r="C8" s="169" t="s">
        <v>14</v>
      </c>
      <c r="D8" s="132"/>
      <c r="E8" s="150"/>
      <c r="F8" s="149" t="s">
        <v>79</v>
      </c>
      <c r="G8" s="132"/>
      <c r="H8" s="132"/>
      <c r="I8" s="132"/>
      <c r="J8" s="132"/>
      <c r="K8" s="132"/>
      <c r="L8" s="132"/>
      <c r="M8" s="150"/>
      <c r="N8" s="131"/>
      <c r="O8" s="132"/>
      <c r="P8" s="133"/>
      <c r="Q8" s="55"/>
      <c r="R8" s="11"/>
      <c r="S8" s="11"/>
      <c r="U8" s="53"/>
    </row>
    <row r="9" spans="1:21" ht="3.95" customHeight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6"/>
      <c r="S9" s="6"/>
    </row>
    <row r="10" spans="1:21" ht="15" customHeight="1">
      <c r="A10" s="54"/>
      <c r="B10" s="170">
        <v>2</v>
      </c>
      <c r="C10" s="140" t="s">
        <v>15</v>
      </c>
      <c r="D10" s="102"/>
      <c r="E10" s="102"/>
      <c r="F10" s="60">
        <f>COUNTA(D44:E63)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5"/>
      <c r="R10" s="6"/>
      <c r="S10" s="6"/>
    </row>
    <row r="11" spans="1:21" ht="15" customHeight="1">
      <c r="A11" s="54"/>
      <c r="B11" s="171"/>
      <c r="C11" s="157" t="s">
        <v>16</v>
      </c>
      <c r="D11" s="71"/>
      <c r="E11" s="71"/>
      <c r="F11" s="73" t="s">
        <v>17</v>
      </c>
      <c r="G11" s="71"/>
      <c r="H11" s="73" t="s">
        <v>18</v>
      </c>
      <c r="I11" s="71"/>
      <c r="J11" s="71"/>
      <c r="K11" s="71"/>
      <c r="L11" s="73" t="s">
        <v>19</v>
      </c>
      <c r="M11" s="71"/>
      <c r="N11" s="88" t="s">
        <v>20</v>
      </c>
      <c r="O11" s="71"/>
      <c r="P11" s="89"/>
      <c r="Q11" s="55"/>
      <c r="R11" s="6"/>
      <c r="S11" s="6"/>
    </row>
    <row r="12" spans="1:21" s="8" customFormat="1" ht="16.5" customHeight="1">
      <c r="A12" s="54"/>
      <c r="B12" s="171"/>
      <c r="C12" s="135" t="s">
        <v>21</v>
      </c>
      <c r="D12" s="74"/>
      <c r="E12" s="74"/>
      <c r="F12" s="73" t="s">
        <v>22</v>
      </c>
      <c r="G12" s="74"/>
      <c r="H12" s="73" t="s">
        <v>23</v>
      </c>
      <c r="I12" s="74"/>
      <c r="J12" s="74"/>
      <c r="K12" s="74"/>
      <c r="L12" s="73" t="s">
        <v>24</v>
      </c>
      <c r="M12" s="74"/>
      <c r="N12" s="88" t="s">
        <v>25</v>
      </c>
      <c r="O12" s="74"/>
      <c r="P12" s="89"/>
      <c r="Q12" s="5"/>
      <c r="R12" s="6"/>
      <c r="S12" s="6"/>
    </row>
    <row r="13" spans="1:21" s="8" customFormat="1" ht="16.5" customHeight="1">
      <c r="A13" s="54"/>
      <c r="B13" s="171"/>
      <c r="C13" s="136"/>
      <c r="D13" s="74"/>
      <c r="E13" s="74"/>
      <c r="F13" s="73" t="s">
        <v>22</v>
      </c>
      <c r="G13" s="74"/>
      <c r="H13" s="73" t="s">
        <v>26</v>
      </c>
      <c r="I13" s="74"/>
      <c r="J13" s="74"/>
      <c r="K13" s="74"/>
      <c r="L13" s="73" t="s">
        <v>24</v>
      </c>
      <c r="M13" s="74"/>
      <c r="N13" s="88" t="s">
        <v>25</v>
      </c>
      <c r="O13" s="74"/>
      <c r="P13" s="89"/>
      <c r="Q13" s="5"/>
      <c r="R13" s="6"/>
      <c r="S13" s="6"/>
    </row>
    <row r="14" spans="1:21" s="8" customFormat="1" ht="16.5" customHeight="1">
      <c r="A14" s="54"/>
      <c r="B14" s="171"/>
      <c r="C14" s="136"/>
      <c r="D14" s="74"/>
      <c r="E14" s="74"/>
      <c r="F14" s="73" t="s">
        <v>22</v>
      </c>
      <c r="G14" s="74"/>
      <c r="H14" s="73" t="s">
        <v>27</v>
      </c>
      <c r="I14" s="74"/>
      <c r="J14" s="74"/>
      <c r="K14" s="74"/>
      <c r="L14" s="73" t="s">
        <v>24</v>
      </c>
      <c r="M14" s="74"/>
      <c r="N14" s="88" t="s">
        <v>25</v>
      </c>
      <c r="O14" s="74"/>
      <c r="P14" s="89"/>
      <c r="Q14" s="5"/>
      <c r="R14" s="6"/>
      <c r="S14" s="6"/>
    </row>
    <row r="15" spans="1:21" s="8" customFormat="1" ht="15.75" customHeight="1" thickBot="1">
      <c r="A15" s="54"/>
      <c r="B15" s="172"/>
      <c r="C15" s="109" t="s">
        <v>28</v>
      </c>
      <c r="D15" s="99"/>
      <c r="E15" s="99"/>
      <c r="F15" s="123"/>
      <c r="G15" s="99"/>
      <c r="H15" s="99"/>
      <c r="I15" s="99"/>
      <c r="J15" s="99"/>
      <c r="K15" s="99"/>
      <c r="L15" s="99"/>
      <c r="M15" s="99"/>
      <c r="N15" s="99"/>
      <c r="O15" s="99"/>
      <c r="P15" s="108"/>
      <c r="Q15" s="5"/>
      <c r="R15" s="6"/>
      <c r="S15" s="6"/>
    </row>
    <row r="16" spans="1:21" ht="3.95" customHeight="1" thickBo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6"/>
      <c r="S16" s="6"/>
    </row>
    <row r="17" spans="1:19" ht="15" customHeight="1">
      <c r="A17" s="54"/>
      <c r="B17" s="22">
        <v>3</v>
      </c>
      <c r="C17" s="140" t="s">
        <v>29</v>
      </c>
      <c r="D17" s="102"/>
      <c r="E17" s="102"/>
      <c r="F17" s="151"/>
      <c r="G17" s="102"/>
      <c r="H17" s="102"/>
      <c r="I17" s="102"/>
      <c r="J17" s="102"/>
      <c r="K17" s="102"/>
      <c r="L17" s="102"/>
      <c r="M17" s="102"/>
      <c r="N17" s="101"/>
      <c r="O17" s="102"/>
      <c r="P17" s="103"/>
      <c r="Q17" s="5"/>
      <c r="R17" s="7"/>
      <c r="S17" s="7"/>
    </row>
    <row r="18" spans="1:19" ht="15" customHeight="1">
      <c r="A18" s="54"/>
      <c r="B18" s="173">
        <v>3.1</v>
      </c>
      <c r="C18" s="158" t="s">
        <v>30</v>
      </c>
      <c r="D18" s="128"/>
      <c r="E18" s="159"/>
      <c r="F18" s="141" t="s">
        <v>31</v>
      </c>
      <c r="G18" s="128"/>
      <c r="H18" s="128"/>
      <c r="I18" s="128"/>
      <c r="J18" s="128"/>
      <c r="K18" s="128"/>
      <c r="L18" s="128"/>
      <c r="M18" s="128"/>
      <c r="N18" s="127" t="s">
        <v>32</v>
      </c>
      <c r="O18" s="128"/>
      <c r="P18" s="129"/>
      <c r="Q18" s="5"/>
      <c r="R18" s="7"/>
      <c r="S18" s="7"/>
    </row>
    <row r="19" spans="1:19" ht="27" customHeight="1">
      <c r="A19" s="54"/>
      <c r="B19" s="174"/>
      <c r="C19" s="160"/>
      <c r="D19" s="76"/>
      <c r="E19" s="161"/>
      <c r="F19" s="156" t="s">
        <v>33</v>
      </c>
      <c r="G19" s="76"/>
      <c r="H19" s="76"/>
      <c r="I19" s="76"/>
      <c r="J19" s="76"/>
      <c r="K19" s="76"/>
      <c r="L19" s="76"/>
      <c r="M19" s="76"/>
      <c r="N19" s="75"/>
      <c r="O19" s="76"/>
      <c r="P19" s="77"/>
      <c r="Q19" s="5"/>
      <c r="R19" s="7"/>
      <c r="S19" s="7"/>
    </row>
    <row r="20" spans="1:19" ht="15.75" customHeight="1" thickBot="1">
      <c r="A20" s="54"/>
      <c r="B20" s="28">
        <v>3.2</v>
      </c>
      <c r="C20" s="109" t="s">
        <v>34</v>
      </c>
      <c r="D20" s="99"/>
      <c r="E20" s="99"/>
      <c r="F20" s="98" t="s">
        <v>35</v>
      </c>
      <c r="G20" s="99"/>
      <c r="H20" s="99"/>
      <c r="I20" s="99"/>
      <c r="J20" s="99"/>
      <c r="K20" s="99"/>
      <c r="L20" s="99"/>
      <c r="M20" s="99"/>
      <c r="N20" s="107"/>
      <c r="O20" s="99"/>
      <c r="P20" s="108"/>
      <c r="Q20" s="5"/>
      <c r="R20" s="7"/>
      <c r="S20" s="7"/>
    </row>
    <row r="21" spans="1:19" ht="3.95" customHeight="1" thickBot="1">
      <c r="A21" s="55"/>
      <c r="B21" s="29"/>
      <c r="C21" s="29"/>
      <c r="D21" s="29"/>
      <c r="E21" s="2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6"/>
      <c r="S21" s="6"/>
    </row>
    <row r="22" spans="1:19" ht="15.75" customHeight="1" thickBot="1">
      <c r="A22" s="54"/>
      <c r="B22" s="23">
        <v>4</v>
      </c>
      <c r="C22" s="130" t="s">
        <v>36</v>
      </c>
      <c r="D22" s="119"/>
      <c r="E22" s="119"/>
      <c r="F22" s="165" t="s">
        <v>37</v>
      </c>
      <c r="G22" s="119"/>
      <c r="H22" s="119"/>
      <c r="I22" s="119"/>
      <c r="J22" s="119"/>
      <c r="K22" s="119"/>
      <c r="L22" s="119"/>
      <c r="M22" s="119"/>
      <c r="N22" s="118"/>
      <c r="O22" s="119"/>
      <c r="P22" s="120"/>
      <c r="Q22" s="5"/>
      <c r="R22" s="7"/>
      <c r="S22" s="7"/>
    </row>
    <row r="23" spans="1:19" ht="3.95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"/>
      <c r="S23" s="6"/>
    </row>
    <row r="24" spans="1:19" ht="15" customHeight="1">
      <c r="A24" s="54"/>
      <c r="B24" s="24">
        <v>5</v>
      </c>
      <c r="C24" s="110" t="s">
        <v>38</v>
      </c>
      <c r="D24" s="111"/>
      <c r="E24" s="111"/>
      <c r="F24" s="134"/>
      <c r="G24" s="105"/>
      <c r="H24" s="105"/>
      <c r="I24" s="105"/>
      <c r="J24" s="105"/>
      <c r="K24" s="105"/>
      <c r="L24" s="105"/>
      <c r="M24" s="105"/>
      <c r="N24" s="152"/>
      <c r="O24" s="105"/>
      <c r="P24" s="153"/>
      <c r="Q24" s="5"/>
      <c r="R24" s="7"/>
      <c r="S24" s="7"/>
    </row>
    <row r="25" spans="1:19" s="35" customFormat="1">
      <c r="A25" s="54"/>
      <c r="B25" s="37">
        <v>5.2</v>
      </c>
      <c r="C25" s="38" t="s">
        <v>39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4"/>
      <c r="B26" s="30"/>
      <c r="C26" s="31"/>
      <c r="D26" s="146"/>
      <c r="E26" s="95"/>
      <c r="F26" s="142"/>
      <c r="G26" s="95"/>
      <c r="H26" s="31"/>
      <c r="I26" s="32"/>
      <c r="J26" s="31"/>
      <c r="K26" s="31"/>
      <c r="L26" s="33"/>
      <c r="M26" s="33"/>
      <c r="N26" s="56"/>
      <c r="O26" s="31"/>
      <c r="P26" s="34"/>
      <c r="Q26" s="31"/>
    </row>
    <row r="27" spans="1:19" s="35" customFormat="1" ht="16.5">
      <c r="A27" s="54"/>
      <c r="B27" s="121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89"/>
      <c r="Q27" s="31"/>
    </row>
    <row r="28" spans="1:19" s="35" customFormat="1" ht="16.5">
      <c r="A28" s="54"/>
      <c r="B28" s="36"/>
      <c r="C28" s="31"/>
      <c r="D28" s="94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89"/>
      <c r="Q28" s="31"/>
    </row>
    <row r="29" spans="1:19" s="35" customFormat="1" ht="16.5">
      <c r="A29" s="54"/>
      <c r="B29" s="36"/>
      <c r="C29" s="31"/>
      <c r="D29" s="94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89"/>
      <c r="Q29" s="31"/>
    </row>
    <row r="30" spans="1:19" s="35" customFormat="1">
      <c r="A30" s="5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4"/>
      <c r="B33" s="36"/>
      <c r="C33" s="31"/>
      <c r="D33" s="94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89"/>
      <c r="Q33" s="31"/>
    </row>
    <row r="34" spans="1:27" s="35" customFormat="1">
      <c r="A34" s="54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4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4"/>
      <c r="B36" s="36"/>
      <c r="C36" s="31"/>
      <c r="D36" s="94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89"/>
      <c r="Q36" s="31"/>
    </row>
    <row r="37" spans="1:27" s="35" customFormat="1">
      <c r="A37" s="54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4"/>
      <c r="B39" s="36"/>
      <c r="C39" s="31"/>
      <c r="D39" s="94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89"/>
      <c r="Q39" s="31"/>
    </row>
    <row r="40" spans="1:27" s="35" customFormat="1" ht="17.25" customHeight="1">
      <c r="A40" s="54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4"/>
      <c r="B41" s="41">
        <v>5.2</v>
      </c>
      <c r="C41" s="50" t="s">
        <v>34</v>
      </c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2"/>
      <c r="Q41" s="67"/>
      <c r="R41" s="68"/>
      <c r="S41" s="4"/>
      <c r="T41" s="4"/>
      <c r="U41" s="2"/>
      <c r="V41" s="2"/>
      <c r="W41" s="2"/>
      <c r="X41" s="2"/>
      <c r="Y41" s="2"/>
      <c r="Z41" s="2"/>
      <c r="AA41" s="2"/>
    </row>
    <row r="42" spans="1:27" s="3" customFormat="1" ht="28.5" customHeight="1">
      <c r="A42" s="54"/>
      <c r="B42" s="145" t="s">
        <v>40</v>
      </c>
      <c r="C42" s="115"/>
      <c r="D42" s="138" t="s">
        <v>41</v>
      </c>
      <c r="E42" s="139"/>
      <c r="F42" s="139"/>
      <c r="G42" s="139"/>
      <c r="H42" s="139"/>
      <c r="I42" s="139"/>
      <c r="J42" s="117"/>
      <c r="K42" s="97" t="s">
        <v>42</v>
      </c>
      <c r="L42" s="97" t="s">
        <v>43</v>
      </c>
      <c r="M42" s="137" t="s">
        <v>44</v>
      </c>
      <c r="N42" s="137" t="s">
        <v>45</v>
      </c>
      <c r="O42" s="137" t="s">
        <v>46</v>
      </c>
      <c r="P42" s="139"/>
      <c r="Q42" s="139"/>
      <c r="R42" s="117"/>
      <c r="S42" s="104" t="s">
        <v>47</v>
      </c>
      <c r="T42" s="105"/>
      <c r="U42" s="106"/>
      <c r="V42" s="104" t="s">
        <v>48</v>
      </c>
      <c r="W42" s="105"/>
      <c r="X42" s="106"/>
      <c r="Y42" s="104" t="s">
        <v>49</v>
      </c>
      <c r="Z42" s="100" t="s">
        <v>32</v>
      </c>
      <c r="AA42" s="4"/>
    </row>
    <row r="43" spans="1:27" s="3" customFormat="1" ht="25.5" customHeight="1">
      <c r="A43" s="54"/>
      <c r="B43" s="116"/>
      <c r="C43" s="117"/>
      <c r="D43" s="147" t="s">
        <v>50</v>
      </c>
      <c r="E43" s="148"/>
      <c r="F43" s="147" t="s">
        <v>51</v>
      </c>
      <c r="G43" s="148"/>
      <c r="H43" s="57" t="s">
        <v>52</v>
      </c>
      <c r="I43" s="44" t="s">
        <v>53</v>
      </c>
      <c r="J43" s="57" t="s">
        <v>54</v>
      </c>
      <c r="K43" s="87"/>
      <c r="L43" s="87"/>
      <c r="M43" s="87"/>
      <c r="N43" s="87"/>
      <c r="O43" s="59" t="s">
        <v>55</v>
      </c>
      <c r="P43" s="58" t="s">
        <v>56</v>
      </c>
      <c r="Q43" s="58" t="s">
        <v>57</v>
      </c>
      <c r="R43" s="58" t="s">
        <v>58</v>
      </c>
      <c r="S43" s="58" t="s">
        <v>59</v>
      </c>
      <c r="T43" s="58" t="s">
        <v>60</v>
      </c>
      <c r="U43" s="58" t="s">
        <v>61</v>
      </c>
      <c r="V43" s="58" t="s">
        <v>62</v>
      </c>
      <c r="W43" s="58" t="s">
        <v>63</v>
      </c>
      <c r="X43" s="59" t="s">
        <v>61</v>
      </c>
      <c r="Y43" s="87"/>
      <c r="Z43" s="80"/>
      <c r="AA43" s="4"/>
    </row>
    <row r="44" spans="1:27" ht="21" customHeight="1">
      <c r="A44" s="54"/>
      <c r="B44" s="112">
        <v>1</v>
      </c>
      <c r="C44" s="113"/>
      <c r="D44" s="93"/>
      <c r="E44" s="113"/>
      <c r="F44" s="93"/>
      <c r="G44" s="113"/>
      <c r="H44" s="93"/>
      <c r="I44" s="93"/>
      <c r="J44" s="93">
        <v>1</v>
      </c>
      <c r="K44" s="84">
        <v>220</v>
      </c>
      <c r="L44" s="84">
        <v>50</v>
      </c>
      <c r="M44" s="45" t="s">
        <v>64</v>
      </c>
      <c r="N44" s="96">
        <v>1</v>
      </c>
      <c r="O44" s="46"/>
      <c r="P44" s="46"/>
      <c r="Q44" s="61"/>
      <c r="R44" s="61"/>
      <c r="S44" s="46" t="s">
        <v>65</v>
      </c>
      <c r="T44" s="46"/>
      <c r="U44" s="46"/>
      <c r="V44" s="45" t="s">
        <v>65</v>
      </c>
      <c r="W44" s="62">
        <f t="shared" ref="W44:W55" si="0">T44-Q44</f>
        <v>0</v>
      </c>
      <c r="X44" s="63">
        <f t="shared" ref="X44:X55" si="1">U44-R44</f>
        <v>0</v>
      </c>
      <c r="Y44" s="90"/>
      <c r="Z44" s="78"/>
      <c r="AA44" s="2"/>
    </row>
    <row r="45" spans="1:27" ht="21" customHeight="1">
      <c r="A45" s="54"/>
      <c r="B45" s="114"/>
      <c r="C45" s="115"/>
      <c r="D45" s="122"/>
      <c r="E45" s="115"/>
      <c r="F45" s="122"/>
      <c r="G45" s="115"/>
      <c r="H45" s="85"/>
      <c r="I45" s="85"/>
      <c r="J45" s="85"/>
      <c r="K45" s="85"/>
      <c r="L45" s="85"/>
      <c r="M45" s="59" t="s">
        <v>66</v>
      </c>
      <c r="N45" s="87"/>
      <c r="O45" s="46"/>
      <c r="P45" s="46"/>
      <c r="Q45" s="61"/>
      <c r="R45" s="61"/>
      <c r="S45" s="46" t="s">
        <v>65</v>
      </c>
      <c r="T45" s="46"/>
      <c r="U45" s="46"/>
      <c r="V45" s="59" t="s">
        <v>65</v>
      </c>
      <c r="W45" s="62">
        <f t="shared" si="0"/>
        <v>0</v>
      </c>
      <c r="X45" s="63">
        <f t="shared" si="1"/>
        <v>0</v>
      </c>
      <c r="Y45" s="85"/>
      <c r="Z45" s="79"/>
      <c r="AA45" s="2"/>
    </row>
    <row r="46" spans="1:27" ht="21" customHeight="1">
      <c r="A46" s="54"/>
      <c r="B46" s="114"/>
      <c r="C46" s="115"/>
      <c r="D46" s="122"/>
      <c r="E46" s="115"/>
      <c r="F46" s="122"/>
      <c r="G46" s="115"/>
      <c r="H46" s="85"/>
      <c r="I46" s="85"/>
      <c r="J46" s="85"/>
      <c r="K46" s="84">
        <v>110</v>
      </c>
      <c r="L46" s="84">
        <v>60</v>
      </c>
      <c r="M46" s="45" t="s">
        <v>64</v>
      </c>
      <c r="N46" s="96">
        <v>1</v>
      </c>
      <c r="O46" s="46"/>
      <c r="P46" s="47"/>
      <c r="Q46" s="61"/>
      <c r="R46" s="61"/>
      <c r="S46" s="46" t="s">
        <v>65</v>
      </c>
      <c r="T46" s="46"/>
      <c r="U46" s="46"/>
      <c r="V46" s="45" t="s">
        <v>65</v>
      </c>
      <c r="W46" s="62">
        <f t="shared" si="0"/>
        <v>0</v>
      </c>
      <c r="X46" s="63">
        <f t="shared" si="1"/>
        <v>0</v>
      </c>
      <c r="Y46" s="90"/>
      <c r="Z46" s="78"/>
      <c r="AA46" s="2"/>
    </row>
    <row r="47" spans="1:27" ht="21" customHeight="1">
      <c r="A47" s="54"/>
      <c r="B47" s="114"/>
      <c r="C47" s="115"/>
      <c r="D47" s="122"/>
      <c r="E47" s="115"/>
      <c r="F47" s="122"/>
      <c r="G47" s="115"/>
      <c r="H47" s="85"/>
      <c r="I47" s="85"/>
      <c r="J47" s="85"/>
      <c r="K47" s="85"/>
      <c r="L47" s="85"/>
      <c r="M47" s="59" t="s">
        <v>66</v>
      </c>
      <c r="N47" s="87"/>
      <c r="O47" s="46"/>
      <c r="P47" s="47"/>
      <c r="Q47" s="61"/>
      <c r="R47" s="61"/>
      <c r="S47" s="46" t="s">
        <v>65</v>
      </c>
      <c r="T47" s="46"/>
      <c r="U47" s="46"/>
      <c r="V47" s="59" t="s">
        <v>65</v>
      </c>
      <c r="W47" s="62">
        <f t="shared" si="0"/>
        <v>0</v>
      </c>
      <c r="X47" s="63">
        <f t="shared" si="1"/>
        <v>0</v>
      </c>
      <c r="Y47" s="85"/>
      <c r="Z47" s="79"/>
      <c r="AA47" s="2"/>
    </row>
    <row r="48" spans="1:27" ht="21" customHeight="1">
      <c r="A48" s="54"/>
      <c r="B48" s="112">
        <v>2</v>
      </c>
      <c r="C48" s="113"/>
      <c r="D48" s="93"/>
      <c r="E48" s="113"/>
      <c r="F48" s="93">
        <f>F44</f>
        <v>0</v>
      </c>
      <c r="G48" s="113"/>
      <c r="H48" s="93">
        <f>H44</f>
        <v>0</v>
      </c>
      <c r="I48" s="93">
        <f>I44</f>
        <v>0</v>
      </c>
      <c r="J48" s="93">
        <v>2</v>
      </c>
      <c r="K48" s="84">
        <v>220</v>
      </c>
      <c r="L48" s="84">
        <v>50</v>
      </c>
      <c r="M48" s="45" t="s">
        <v>64</v>
      </c>
      <c r="N48" s="96">
        <v>1</v>
      </c>
      <c r="O48" s="46"/>
      <c r="P48" s="46"/>
      <c r="Q48" s="61"/>
      <c r="R48" s="61"/>
      <c r="S48" s="46" t="s">
        <v>65</v>
      </c>
      <c r="T48" s="46"/>
      <c r="U48" s="46"/>
      <c r="V48" s="45" t="s">
        <v>65</v>
      </c>
      <c r="W48" s="62">
        <f t="shared" si="0"/>
        <v>0</v>
      </c>
      <c r="X48" s="63">
        <f t="shared" si="1"/>
        <v>0</v>
      </c>
      <c r="Y48" s="90"/>
      <c r="Z48" s="78"/>
      <c r="AA48" s="2"/>
    </row>
    <row r="49" spans="1:27" ht="21" customHeight="1">
      <c r="A49" s="54"/>
      <c r="B49" s="114"/>
      <c r="C49" s="115"/>
      <c r="D49" s="122"/>
      <c r="E49" s="115"/>
      <c r="F49" s="122"/>
      <c r="G49" s="115"/>
      <c r="H49" s="85"/>
      <c r="I49" s="85"/>
      <c r="J49" s="85"/>
      <c r="K49" s="85"/>
      <c r="L49" s="85"/>
      <c r="M49" s="59" t="s">
        <v>66</v>
      </c>
      <c r="N49" s="87"/>
      <c r="O49" s="46"/>
      <c r="P49" s="46"/>
      <c r="Q49" s="61"/>
      <c r="R49" s="61"/>
      <c r="S49" s="46" t="s">
        <v>65</v>
      </c>
      <c r="T49" s="46"/>
      <c r="U49" s="46"/>
      <c r="V49" s="59" t="s">
        <v>65</v>
      </c>
      <c r="W49" s="62">
        <f t="shared" si="0"/>
        <v>0</v>
      </c>
      <c r="X49" s="63">
        <f t="shared" si="1"/>
        <v>0</v>
      </c>
      <c r="Y49" s="85"/>
      <c r="Z49" s="79"/>
      <c r="AA49" s="2"/>
    </row>
    <row r="50" spans="1:27" ht="21" customHeight="1">
      <c r="A50" s="54"/>
      <c r="B50" s="114"/>
      <c r="C50" s="115"/>
      <c r="D50" s="122"/>
      <c r="E50" s="115"/>
      <c r="F50" s="122"/>
      <c r="G50" s="115"/>
      <c r="H50" s="85"/>
      <c r="I50" s="85"/>
      <c r="J50" s="85"/>
      <c r="K50" s="84">
        <v>110</v>
      </c>
      <c r="L50" s="84">
        <v>60</v>
      </c>
      <c r="M50" s="45" t="s">
        <v>64</v>
      </c>
      <c r="N50" s="96">
        <v>1</v>
      </c>
      <c r="O50" s="46"/>
      <c r="P50" s="46"/>
      <c r="Q50" s="61"/>
      <c r="R50" s="61"/>
      <c r="S50" s="46" t="s">
        <v>65</v>
      </c>
      <c r="T50" s="46"/>
      <c r="U50" s="46"/>
      <c r="V50" s="45" t="s">
        <v>65</v>
      </c>
      <c r="W50" s="62">
        <f t="shared" si="0"/>
        <v>0</v>
      </c>
      <c r="X50" s="63">
        <f t="shared" si="1"/>
        <v>0</v>
      </c>
      <c r="Y50" s="90"/>
      <c r="Z50" s="78"/>
      <c r="AA50" s="2"/>
    </row>
    <row r="51" spans="1:27" ht="21" customHeight="1">
      <c r="A51" s="54"/>
      <c r="B51" s="114"/>
      <c r="C51" s="115"/>
      <c r="D51" s="122"/>
      <c r="E51" s="115"/>
      <c r="F51" s="122"/>
      <c r="G51" s="115"/>
      <c r="H51" s="85"/>
      <c r="I51" s="85"/>
      <c r="J51" s="85"/>
      <c r="K51" s="85"/>
      <c r="L51" s="85"/>
      <c r="M51" s="59" t="s">
        <v>66</v>
      </c>
      <c r="N51" s="87"/>
      <c r="O51" s="46"/>
      <c r="P51" s="46"/>
      <c r="Q51" s="61"/>
      <c r="R51" s="61"/>
      <c r="S51" s="46" t="s">
        <v>65</v>
      </c>
      <c r="T51" s="46"/>
      <c r="U51" s="46"/>
      <c r="V51" s="59" t="s">
        <v>65</v>
      </c>
      <c r="W51" s="62">
        <f t="shared" si="0"/>
        <v>0</v>
      </c>
      <c r="X51" s="63">
        <f t="shared" si="1"/>
        <v>0</v>
      </c>
      <c r="Y51" s="85"/>
      <c r="Z51" s="79"/>
      <c r="AA51" s="2"/>
    </row>
    <row r="52" spans="1:27" ht="21" customHeight="1">
      <c r="A52" s="54"/>
      <c r="B52" s="112">
        <v>3</v>
      </c>
      <c r="C52" s="113"/>
      <c r="D52" s="93"/>
      <c r="E52" s="113"/>
      <c r="F52" s="93">
        <f>F48</f>
        <v>0</v>
      </c>
      <c r="G52" s="113"/>
      <c r="H52" s="93">
        <f>H48</f>
        <v>0</v>
      </c>
      <c r="I52" s="93">
        <f>I48</f>
        <v>0</v>
      </c>
      <c r="J52" s="93">
        <v>3</v>
      </c>
      <c r="K52" s="84">
        <v>220</v>
      </c>
      <c r="L52" s="84">
        <v>50</v>
      </c>
      <c r="M52" s="45" t="s">
        <v>64</v>
      </c>
      <c r="N52" s="96">
        <v>1</v>
      </c>
      <c r="O52" s="46"/>
      <c r="P52" s="46"/>
      <c r="Q52" s="61"/>
      <c r="R52" s="61"/>
      <c r="S52" s="46" t="s">
        <v>65</v>
      </c>
      <c r="T52" s="46"/>
      <c r="U52" s="46"/>
      <c r="V52" s="45" t="s">
        <v>65</v>
      </c>
      <c r="W52" s="62">
        <f t="shared" si="0"/>
        <v>0</v>
      </c>
      <c r="X52" s="63">
        <f t="shared" si="1"/>
        <v>0</v>
      </c>
      <c r="Y52" s="90"/>
      <c r="Z52" s="78"/>
      <c r="AA52" s="2"/>
    </row>
    <row r="53" spans="1:27" ht="21" customHeight="1">
      <c r="A53" s="54"/>
      <c r="B53" s="114"/>
      <c r="C53" s="115"/>
      <c r="D53" s="122"/>
      <c r="E53" s="115"/>
      <c r="F53" s="122"/>
      <c r="G53" s="115"/>
      <c r="H53" s="85"/>
      <c r="I53" s="85"/>
      <c r="J53" s="85"/>
      <c r="K53" s="85"/>
      <c r="L53" s="85"/>
      <c r="M53" s="59" t="s">
        <v>66</v>
      </c>
      <c r="N53" s="87"/>
      <c r="O53" s="46"/>
      <c r="P53" s="46"/>
      <c r="Q53" s="61"/>
      <c r="R53" s="61"/>
      <c r="S53" s="46" t="s">
        <v>65</v>
      </c>
      <c r="T53" s="46"/>
      <c r="U53" s="46"/>
      <c r="V53" s="59" t="s">
        <v>65</v>
      </c>
      <c r="W53" s="62">
        <f t="shared" si="0"/>
        <v>0</v>
      </c>
      <c r="X53" s="63">
        <f t="shared" si="1"/>
        <v>0</v>
      </c>
      <c r="Y53" s="85"/>
      <c r="Z53" s="79"/>
      <c r="AA53" s="2"/>
    </row>
    <row r="54" spans="1:27" ht="21" customHeight="1">
      <c r="A54" s="54"/>
      <c r="B54" s="114"/>
      <c r="C54" s="115"/>
      <c r="D54" s="122"/>
      <c r="E54" s="115"/>
      <c r="F54" s="122"/>
      <c r="G54" s="115"/>
      <c r="H54" s="85"/>
      <c r="I54" s="85"/>
      <c r="J54" s="85"/>
      <c r="K54" s="84">
        <v>110</v>
      </c>
      <c r="L54" s="84">
        <v>60</v>
      </c>
      <c r="M54" s="45" t="s">
        <v>64</v>
      </c>
      <c r="N54" s="175">
        <v>1</v>
      </c>
      <c r="O54" s="46"/>
      <c r="P54" s="46"/>
      <c r="Q54" s="61"/>
      <c r="R54" s="61"/>
      <c r="S54" s="46" t="s">
        <v>65</v>
      </c>
      <c r="T54" s="46"/>
      <c r="U54" s="46"/>
      <c r="V54" s="45" t="s">
        <v>65</v>
      </c>
      <c r="W54" s="62">
        <f t="shared" si="0"/>
        <v>0</v>
      </c>
      <c r="X54" s="63">
        <f t="shared" si="1"/>
        <v>0</v>
      </c>
      <c r="Y54" s="90"/>
      <c r="Z54" s="78"/>
      <c r="AA54" s="2"/>
    </row>
    <row r="55" spans="1:27" ht="21" customHeight="1">
      <c r="A55" s="54"/>
      <c r="B55" s="114"/>
      <c r="C55" s="115"/>
      <c r="D55" s="122"/>
      <c r="E55" s="115"/>
      <c r="F55" s="122"/>
      <c r="G55" s="115"/>
      <c r="H55" s="85"/>
      <c r="I55" s="85"/>
      <c r="J55" s="85"/>
      <c r="K55" s="85"/>
      <c r="L55" s="85"/>
      <c r="M55" s="59" t="s">
        <v>66</v>
      </c>
      <c r="N55" s="176"/>
      <c r="O55" s="46"/>
      <c r="P55" s="46"/>
      <c r="Q55" s="61"/>
      <c r="R55" s="61"/>
      <c r="S55" s="46" t="s">
        <v>65</v>
      </c>
      <c r="T55" s="46"/>
      <c r="U55" s="46"/>
      <c r="V55" s="59" t="s">
        <v>65</v>
      </c>
      <c r="W55" s="62">
        <f t="shared" si="0"/>
        <v>0</v>
      </c>
      <c r="X55" s="63">
        <f t="shared" si="1"/>
        <v>0</v>
      </c>
      <c r="Y55" s="85"/>
      <c r="Z55" s="79"/>
      <c r="AA55" s="2"/>
    </row>
    <row r="56" spans="1:27" ht="21" customHeight="1">
      <c r="A56" s="54"/>
      <c r="B56" s="112">
        <v>4</v>
      </c>
      <c r="C56" s="113"/>
      <c r="D56" s="93"/>
      <c r="E56" s="113"/>
      <c r="F56" s="93">
        <f>F52</f>
        <v>0</v>
      </c>
      <c r="G56" s="113"/>
      <c r="H56" s="93">
        <f>H52</f>
        <v>0</v>
      </c>
      <c r="I56" s="93">
        <f>I52</f>
        <v>0</v>
      </c>
      <c r="J56" s="93">
        <v>4</v>
      </c>
      <c r="K56" s="84">
        <v>220</v>
      </c>
      <c r="L56" s="84">
        <v>50</v>
      </c>
      <c r="M56" s="45" t="s">
        <v>64</v>
      </c>
      <c r="N56" s="96">
        <v>1</v>
      </c>
      <c r="O56" s="46"/>
      <c r="P56" s="46"/>
      <c r="Q56" s="61"/>
      <c r="R56" s="61"/>
      <c r="S56" s="46" t="s">
        <v>65</v>
      </c>
      <c r="T56" s="46"/>
      <c r="U56" s="46"/>
      <c r="V56" s="45" t="s">
        <v>65</v>
      </c>
      <c r="W56" s="62">
        <f t="shared" ref="W56:W63" si="2">T56-Q56</f>
        <v>0</v>
      </c>
      <c r="X56" s="63">
        <f t="shared" ref="X56:X63" si="3">U56-R56</f>
        <v>0</v>
      </c>
      <c r="Y56" s="90"/>
      <c r="Z56" s="78"/>
      <c r="AA56" s="2"/>
    </row>
    <row r="57" spans="1:27" ht="21" customHeight="1">
      <c r="A57" s="54"/>
      <c r="B57" s="114"/>
      <c r="C57" s="115"/>
      <c r="D57" s="122"/>
      <c r="E57" s="115"/>
      <c r="F57" s="122"/>
      <c r="G57" s="115"/>
      <c r="H57" s="85"/>
      <c r="I57" s="85"/>
      <c r="J57" s="85"/>
      <c r="K57" s="85"/>
      <c r="L57" s="85"/>
      <c r="M57" s="59" t="s">
        <v>66</v>
      </c>
      <c r="N57" s="87"/>
      <c r="O57" s="46"/>
      <c r="P57" s="46"/>
      <c r="Q57" s="61"/>
      <c r="R57" s="61"/>
      <c r="S57" s="46" t="s">
        <v>65</v>
      </c>
      <c r="T57" s="46"/>
      <c r="U57" s="46"/>
      <c r="V57" s="59" t="s">
        <v>65</v>
      </c>
      <c r="W57" s="62">
        <f t="shared" si="2"/>
        <v>0</v>
      </c>
      <c r="X57" s="63">
        <f t="shared" si="3"/>
        <v>0</v>
      </c>
      <c r="Y57" s="85"/>
      <c r="Z57" s="79"/>
      <c r="AA57" s="2"/>
    </row>
    <row r="58" spans="1:27" ht="21" customHeight="1">
      <c r="A58" s="54"/>
      <c r="B58" s="114"/>
      <c r="C58" s="115"/>
      <c r="D58" s="122"/>
      <c r="E58" s="115"/>
      <c r="F58" s="122"/>
      <c r="G58" s="115"/>
      <c r="H58" s="85"/>
      <c r="I58" s="85"/>
      <c r="J58" s="85"/>
      <c r="K58" s="84">
        <v>110</v>
      </c>
      <c r="L58" s="84">
        <v>60</v>
      </c>
      <c r="M58" s="45" t="s">
        <v>64</v>
      </c>
      <c r="N58" s="96">
        <v>1</v>
      </c>
      <c r="O58" s="46"/>
      <c r="P58" s="46"/>
      <c r="Q58" s="61"/>
      <c r="R58" s="61"/>
      <c r="S58" s="46" t="s">
        <v>65</v>
      </c>
      <c r="T58" s="46"/>
      <c r="U58" s="46"/>
      <c r="V58" s="45" t="s">
        <v>65</v>
      </c>
      <c r="W58" s="62">
        <f t="shared" si="2"/>
        <v>0</v>
      </c>
      <c r="X58" s="63">
        <f t="shared" si="3"/>
        <v>0</v>
      </c>
      <c r="Y58" s="90"/>
      <c r="Z58" s="78"/>
      <c r="AA58" s="2"/>
    </row>
    <row r="59" spans="1:27" ht="21" customHeight="1">
      <c r="A59" s="54"/>
      <c r="B59" s="114"/>
      <c r="C59" s="115"/>
      <c r="D59" s="122"/>
      <c r="E59" s="115"/>
      <c r="F59" s="122"/>
      <c r="G59" s="115"/>
      <c r="H59" s="85"/>
      <c r="I59" s="85"/>
      <c r="J59" s="85"/>
      <c r="K59" s="85"/>
      <c r="L59" s="85"/>
      <c r="M59" s="59" t="s">
        <v>66</v>
      </c>
      <c r="N59" s="87"/>
      <c r="O59" s="46"/>
      <c r="P59" s="46"/>
      <c r="Q59" s="61"/>
      <c r="R59" s="61"/>
      <c r="S59" s="46" t="s">
        <v>65</v>
      </c>
      <c r="T59" s="46"/>
      <c r="U59" s="46"/>
      <c r="V59" s="59" t="s">
        <v>65</v>
      </c>
      <c r="W59" s="62">
        <f t="shared" si="2"/>
        <v>0</v>
      </c>
      <c r="X59" s="63">
        <f t="shared" si="3"/>
        <v>0</v>
      </c>
      <c r="Y59" s="85"/>
      <c r="Z59" s="79"/>
      <c r="AA59" s="2"/>
    </row>
    <row r="60" spans="1:27" ht="21" customHeight="1">
      <c r="A60" s="54"/>
      <c r="B60" s="112">
        <v>5</v>
      </c>
      <c r="C60" s="113"/>
      <c r="D60" s="93"/>
      <c r="E60" s="113"/>
      <c r="F60" s="93">
        <f>F56</f>
        <v>0</v>
      </c>
      <c r="G60" s="113"/>
      <c r="H60" s="93">
        <f>H56</f>
        <v>0</v>
      </c>
      <c r="I60" s="93">
        <f>I56</f>
        <v>0</v>
      </c>
      <c r="J60" s="93">
        <v>5</v>
      </c>
      <c r="K60" s="84">
        <v>220</v>
      </c>
      <c r="L60" s="84">
        <v>50</v>
      </c>
      <c r="M60" s="45" t="s">
        <v>64</v>
      </c>
      <c r="N60" s="96">
        <v>1</v>
      </c>
      <c r="O60" s="46"/>
      <c r="P60" s="46"/>
      <c r="Q60" s="61"/>
      <c r="R60" s="61"/>
      <c r="S60" s="46" t="s">
        <v>65</v>
      </c>
      <c r="T60" s="46"/>
      <c r="U60" s="46"/>
      <c r="V60" s="45" t="s">
        <v>65</v>
      </c>
      <c r="W60" s="62">
        <f t="shared" si="2"/>
        <v>0</v>
      </c>
      <c r="X60" s="63">
        <f t="shared" si="3"/>
        <v>0</v>
      </c>
      <c r="Y60" s="90"/>
      <c r="Z60" s="78"/>
      <c r="AA60" s="2"/>
    </row>
    <row r="61" spans="1:27" ht="21" customHeight="1">
      <c r="A61" s="54"/>
      <c r="B61" s="114"/>
      <c r="C61" s="115"/>
      <c r="D61" s="122"/>
      <c r="E61" s="115"/>
      <c r="F61" s="122"/>
      <c r="G61" s="115"/>
      <c r="H61" s="85"/>
      <c r="I61" s="85"/>
      <c r="J61" s="85"/>
      <c r="K61" s="85"/>
      <c r="L61" s="85"/>
      <c r="M61" s="59" t="s">
        <v>66</v>
      </c>
      <c r="N61" s="87"/>
      <c r="O61" s="46"/>
      <c r="P61" s="46"/>
      <c r="Q61" s="61"/>
      <c r="R61" s="61"/>
      <c r="S61" s="46" t="s">
        <v>65</v>
      </c>
      <c r="T61" s="46"/>
      <c r="U61" s="46"/>
      <c r="V61" s="59" t="s">
        <v>65</v>
      </c>
      <c r="W61" s="62">
        <f t="shared" si="2"/>
        <v>0</v>
      </c>
      <c r="X61" s="63">
        <f t="shared" si="3"/>
        <v>0</v>
      </c>
      <c r="Y61" s="85"/>
      <c r="Z61" s="79"/>
      <c r="AA61" s="2"/>
    </row>
    <row r="62" spans="1:27" ht="21" customHeight="1">
      <c r="A62" s="54"/>
      <c r="B62" s="114"/>
      <c r="C62" s="115"/>
      <c r="D62" s="122"/>
      <c r="E62" s="115"/>
      <c r="F62" s="122"/>
      <c r="G62" s="115"/>
      <c r="H62" s="85"/>
      <c r="I62" s="85"/>
      <c r="J62" s="85"/>
      <c r="K62" s="84">
        <v>110</v>
      </c>
      <c r="L62" s="84">
        <v>60</v>
      </c>
      <c r="M62" s="45" t="s">
        <v>64</v>
      </c>
      <c r="N62" s="96">
        <v>1</v>
      </c>
      <c r="O62" s="46"/>
      <c r="P62" s="46"/>
      <c r="Q62" s="61"/>
      <c r="R62" s="61"/>
      <c r="S62" s="46" t="s">
        <v>65</v>
      </c>
      <c r="T62" s="46"/>
      <c r="U62" s="46"/>
      <c r="V62" s="45" t="s">
        <v>65</v>
      </c>
      <c r="W62" s="62">
        <f t="shared" si="2"/>
        <v>0</v>
      </c>
      <c r="X62" s="63">
        <f t="shared" si="3"/>
        <v>0</v>
      </c>
      <c r="Y62" s="90"/>
      <c r="Z62" s="78"/>
      <c r="AA62" s="2"/>
    </row>
    <row r="63" spans="1:27" ht="21" customHeight="1" thickBot="1">
      <c r="A63" s="54"/>
      <c r="B63" s="143"/>
      <c r="C63" s="144"/>
      <c r="D63" s="154"/>
      <c r="E63" s="144"/>
      <c r="F63" s="154"/>
      <c r="G63" s="144"/>
      <c r="H63" s="86"/>
      <c r="I63" s="86"/>
      <c r="J63" s="86"/>
      <c r="K63" s="86"/>
      <c r="L63" s="86"/>
      <c r="M63" s="48" t="s">
        <v>66</v>
      </c>
      <c r="N63" s="86"/>
      <c r="O63" s="49"/>
      <c r="P63" s="49"/>
      <c r="Q63" s="64"/>
      <c r="R63" s="64"/>
      <c r="S63" s="49" t="s">
        <v>65</v>
      </c>
      <c r="T63" s="49"/>
      <c r="U63" s="49"/>
      <c r="V63" s="48" t="s">
        <v>65</v>
      </c>
      <c r="W63" s="65">
        <f t="shared" si="2"/>
        <v>0</v>
      </c>
      <c r="X63" s="66">
        <f t="shared" si="3"/>
        <v>0</v>
      </c>
      <c r="Y63" s="86"/>
      <c r="Z63" s="155"/>
      <c r="AA63" s="2"/>
    </row>
    <row r="64" spans="1:27">
      <c r="A64" s="2"/>
      <c r="B64" s="2" t="s">
        <v>67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 t="s">
        <v>68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 t="s">
        <v>69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 t="s">
        <v>70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</sheetData>
  <mergeCells count="153">
    <mergeCell ref="F3:I3"/>
    <mergeCell ref="D52:E55"/>
    <mergeCell ref="I48:I51"/>
    <mergeCell ref="N54:N55"/>
    <mergeCell ref="M42:M43"/>
    <mergeCell ref="F22:M22"/>
    <mergeCell ref="B52:C55"/>
    <mergeCell ref="Y58:Y59"/>
    <mergeCell ref="M6:P6"/>
    <mergeCell ref="D44:E47"/>
    <mergeCell ref="F44:G47"/>
    <mergeCell ref="O42:R42"/>
    <mergeCell ref="Y54:Y55"/>
    <mergeCell ref="N13:P13"/>
    <mergeCell ref="C8:E8"/>
    <mergeCell ref="B10:B15"/>
    <mergeCell ref="K50:K51"/>
    <mergeCell ref="D28:P28"/>
    <mergeCell ref="F11:G11"/>
    <mergeCell ref="B48:C51"/>
    <mergeCell ref="B18:B19"/>
    <mergeCell ref="Y52:Y53"/>
    <mergeCell ref="L54:L55"/>
    <mergeCell ref="F8:M8"/>
    <mergeCell ref="F17:M17"/>
    <mergeCell ref="N24:P24"/>
    <mergeCell ref="D43:E43"/>
    <mergeCell ref="D60:E63"/>
    <mergeCell ref="F60:G63"/>
    <mergeCell ref="Z62:Z63"/>
    <mergeCell ref="L46:L47"/>
    <mergeCell ref="Y56:Y57"/>
    <mergeCell ref="I52:I55"/>
    <mergeCell ref="V42:X42"/>
    <mergeCell ref="N11:P11"/>
    <mergeCell ref="L48:L49"/>
    <mergeCell ref="L11:M11"/>
    <mergeCell ref="F14:G14"/>
    <mergeCell ref="H12:K12"/>
    <mergeCell ref="K52:K53"/>
    <mergeCell ref="F19:M19"/>
    <mergeCell ref="N46:N47"/>
    <mergeCell ref="H14:K14"/>
    <mergeCell ref="C11:E11"/>
    <mergeCell ref="C18:E19"/>
    <mergeCell ref="C17:E17"/>
    <mergeCell ref="F18:M18"/>
    <mergeCell ref="F26:G26"/>
    <mergeCell ref="L50:L51"/>
    <mergeCell ref="B60:C63"/>
    <mergeCell ref="B42:C43"/>
    <mergeCell ref="D26:E26"/>
    <mergeCell ref="C20:E20"/>
    <mergeCell ref="L56:L57"/>
    <mergeCell ref="J56:J59"/>
    <mergeCell ref="L44:L45"/>
    <mergeCell ref="F43:G43"/>
    <mergeCell ref="K44:K45"/>
    <mergeCell ref="H44:H47"/>
    <mergeCell ref="J44:J47"/>
    <mergeCell ref="B44:C47"/>
    <mergeCell ref="H56:H59"/>
    <mergeCell ref="K56:K57"/>
    <mergeCell ref="H60:H63"/>
    <mergeCell ref="J60:J63"/>
    <mergeCell ref="M3:P3"/>
    <mergeCell ref="N18:P18"/>
    <mergeCell ref="K60:K61"/>
    <mergeCell ref="C22:E22"/>
    <mergeCell ref="F6:G6"/>
    <mergeCell ref="N8:P8"/>
    <mergeCell ref="D33:P33"/>
    <mergeCell ref="F52:G55"/>
    <mergeCell ref="N60:N61"/>
    <mergeCell ref="F24:M24"/>
    <mergeCell ref="L42:L43"/>
    <mergeCell ref="C12:E14"/>
    <mergeCell ref="N42:N43"/>
    <mergeCell ref="J48:J51"/>
    <mergeCell ref="I44:I47"/>
    <mergeCell ref="D39:P39"/>
    <mergeCell ref="D42:J42"/>
    <mergeCell ref="C10:E10"/>
    <mergeCell ref="I60:I63"/>
    <mergeCell ref="H13:K13"/>
    <mergeCell ref="H48:H51"/>
    <mergeCell ref="D36:P36"/>
    <mergeCell ref="N20:P20"/>
    <mergeCell ref="N58:N59"/>
    <mergeCell ref="C15:E15"/>
    <mergeCell ref="C24:E24"/>
    <mergeCell ref="B56:C59"/>
    <mergeCell ref="N22:P22"/>
    <mergeCell ref="B27:P27"/>
    <mergeCell ref="D56:E59"/>
    <mergeCell ref="F56:G59"/>
    <mergeCell ref="F15:P15"/>
    <mergeCell ref="L52:L53"/>
    <mergeCell ref="D48:E51"/>
    <mergeCell ref="N44:N45"/>
    <mergeCell ref="F48:G51"/>
    <mergeCell ref="F13:G13"/>
    <mergeCell ref="Z56:Z57"/>
    <mergeCell ref="Z48:Z49"/>
    <mergeCell ref="Z42:Z43"/>
    <mergeCell ref="Z44:Z45"/>
    <mergeCell ref="N17:P17"/>
    <mergeCell ref="Y42:Y43"/>
    <mergeCell ref="N56:N57"/>
    <mergeCell ref="S42:U42"/>
    <mergeCell ref="Y48:Y49"/>
    <mergeCell ref="Z54:Z55"/>
    <mergeCell ref="Y50:Y51"/>
    <mergeCell ref="Z46:Z47"/>
    <mergeCell ref="Z52:Z53"/>
    <mergeCell ref="Y46:Y47"/>
    <mergeCell ref="N52:N53"/>
    <mergeCell ref="L14:M14"/>
    <mergeCell ref="H52:H55"/>
    <mergeCell ref="K48:K49"/>
    <mergeCell ref="K42:K43"/>
    <mergeCell ref="L58:L59"/>
    <mergeCell ref="N62:N63"/>
    <mergeCell ref="K54:K55"/>
    <mergeCell ref="N14:P14"/>
    <mergeCell ref="F20:M20"/>
    <mergeCell ref="I56:I59"/>
    <mergeCell ref="L60:L61"/>
    <mergeCell ref="N50:N51"/>
    <mergeCell ref="N48:N49"/>
    <mergeCell ref="M4:P4"/>
    <mergeCell ref="L12:M12"/>
    <mergeCell ref="N19:P19"/>
    <mergeCell ref="Z60:Z61"/>
    <mergeCell ref="F5:I5"/>
    <mergeCell ref="K62:K63"/>
    <mergeCell ref="H11:K11"/>
    <mergeCell ref="N12:P12"/>
    <mergeCell ref="Y60:Y61"/>
    <mergeCell ref="F4:I4"/>
    <mergeCell ref="M5:P5"/>
    <mergeCell ref="L13:M13"/>
    <mergeCell ref="Y62:Y63"/>
    <mergeCell ref="F12:G12"/>
    <mergeCell ref="H6:I6"/>
    <mergeCell ref="Z58:Z59"/>
    <mergeCell ref="Z50:Z51"/>
    <mergeCell ref="Y44:Y45"/>
    <mergeCell ref="K58:K59"/>
    <mergeCell ref="J52:J55"/>
    <mergeCell ref="D29:P29"/>
    <mergeCell ref="K46:K47"/>
    <mergeCell ref="L62:L63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2025-09-01T02:51:00Z</dcterms:modified>
</cp:coreProperties>
</file>